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Ranadip\Downloads\Project 1 File (1)\"/>
    </mc:Choice>
  </mc:AlternateContent>
  <bookViews>
    <workbookView xWindow="0" yWindow="0" windowWidth="20490" windowHeight="7620" tabRatio="775"/>
  </bookViews>
  <sheets>
    <sheet name="Dashboard" sheetId="6" r:id="rId1"/>
    <sheet name="RPT (4)" sheetId="24" r:id="rId2"/>
    <sheet name="RPT (3)" sheetId="23" r:id="rId3"/>
    <sheet name="RPT (2)" sheetId="22" r:id="rId4"/>
    <sheet name="RPT" sheetId="21"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62913"/>
  <pivotCaches>
    <pivotCache cacheId="5"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63" i="5" l="1"/>
  <c r="H62" i="5"/>
  <c r="H61" i="5"/>
  <c r="H60" i="5"/>
  <c r="H59" i="5"/>
  <c r="H58" i="5"/>
  <c r="H57" i="5"/>
  <c r="H56" i="5"/>
  <c r="H55" i="5"/>
  <c r="H54" i="5"/>
  <c r="H53" i="5"/>
  <c r="H52" i="5"/>
  <c r="H51" i="5"/>
  <c r="H50" i="5"/>
  <c r="H49" i="5"/>
  <c r="H48" i="5"/>
  <c r="H2" i="4"/>
  <c r="H3" i="4"/>
  <c r="H4" i="4"/>
  <c r="H5" i="4"/>
  <c r="H6" i="4"/>
  <c r="H7" i="4"/>
  <c r="H8" i="4"/>
  <c r="H9" i="4"/>
  <c r="H10" i="4"/>
  <c r="H11" i="4"/>
  <c r="H12" i="4"/>
  <c r="H13" i="4"/>
  <c r="H14" i="4"/>
  <c r="H15" i="4"/>
  <c r="H16" i="4"/>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16" i="1" l="1"/>
  <c r="H15" i="1"/>
  <c r="H14" i="1"/>
  <c r="H13" i="1"/>
  <c r="H12" i="1"/>
  <c r="H16" i="2"/>
  <c r="H15" i="2"/>
  <c r="H14" i="2"/>
  <c r="H13" i="2"/>
  <c r="H12" i="2"/>
  <c r="H16" i="3"/>
  <c r="H15" i="3"/>
  <c r="H14" i="3"/>
  <c r="H13" i="3"/>
  <c r="H12" i="3"/>
  <c r="H17" i="4"/>
  <c r="H2" i="1" l="1"/>
  <c r="H3" i="1"/>
  <c r="H4" i="1"/>
  <c r="H5" i="1"/>
  <c r="H6" i="1"/>
  <c r="H7" i="1"/>
  <c r="H8" i="1"/>
  <c r="H9" i="1"/>
  <c r="H10" i="1"/>
  <c r="H11" i="1"/>
  <c r="H11" i="3" l="1"/>
  <c r="H10" i="3"/>
  <c r="H9" i="3"/>
  <c r="H8" i="3"/>
  <c r="H7" i="3"/>
  <c r="H6" i="3"/>
  <c r="H5" i="3"/>
  <c r="H4" i="3"/>
  <c r="H3" i="3"/>
  <c r="H2" i="3"/>
  <c r="H11" i="2"/>
  <c r="H10" i="2"/>
  <c r="H9" i="2"/>
  <c r="H8" i="2"/>
  <c r="H7" i="2"/>
  <c r="H6" i="2"/>
  <c r="H5" i="2"/>
  <c r="H4" i="2"/>
  <c r="H3" i="2"/>
  <c r="H2" i="2"/>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<sst xmlns="http://schemas.openxmlformats.org/spreadsheetml/2006/main" count="475" uniqueCount="45">
  <si>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</si>
  <si>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</si>
  <si>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</si>
  <si>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</si>
  <si>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</si>
  <si>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</si>
  <si>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</si>
  <si>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</si>
  <si>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</si>
  <si>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</si>
  <si>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</si>
  <si>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</si>
  <si>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</si>
  <si>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</si>
  <si>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</si>
  <si>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</si>
  <si>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</si>
  <si>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</si>
  <si>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</si>
  <si>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</si>
  <si>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</si>
  <si>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</si>
  <si>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</si>
  <si>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</si>
  <si>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</si>
  <si>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</si>
  <si>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</si>
  <si>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</si>
  <si>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</si>
  <si>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</si>
  <si>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</si>
  <si>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</si>
  <si>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</si>
  <si>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</si>
  <si>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</si>
  <si>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</si>
  <si>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</si>
  <si>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</si>
  <si>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</si>
  <si>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</si>
  <si>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</si>
  <si>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</si>
  <si>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</si>
  <si>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Sum of Qty</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</si>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</sst>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4">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Area wise Total Sale</a:t>
            </a:r>
          </a:p>
        </c:rich>
      </c:tx>
      <c:layout>
        <c:manualLayout>
          <c:xMode val="edge"/>
          <c:yMode val="edge"/>
          <c:x val="0.33888888888888891"/>
          <c:y val="2.675707203266258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dLbl>
          <c:idx val="0"/>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dLbl>
          <c:idx val="0"/>
          <c:layout/>
          <c:showLegendKey val="0"/>
          <c:showVal val="0"/>
          <c:showCatName val="0"/>
          <c:showSerName val="0"/>
          <c:showPercent val="1"/>
          <c:showBubbleSize val="0"/>
          <c:extLst>
            <c:ext xmlns:c15="http://schemas.microsoft.com/office/drawing/2012/chart" uri="{CE6537A1-D6FC-4f65-9D91-7224C49458BB}">
              <c15:layout/>
            </c:ext>
          </c:extLst>
        </c:dLbl>
      </c:pivotFmt>
      <c:pivotFmt>
        <c:idx val="9"/>
      </c:pivotFmt>
      <c:pivotFmt>
        <c:idx val="10"/>
      </c:pivotFmt>
      <c:pivotFmt>
        <c:idx val="11"/>
      </c:pivotFmt>
      <c:pivotFmt>
        <c:idx val="12"/>
      </c:pivotFmt>
      <c:pivotFmt>
        <c:idx val="13"/>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layout/>
          <c:showLegendKey val="0"/>
          <c:showVal val="0"/>
          <c:showCatName val="0"/>
          <c:showSerName val="0"/>
          <c:showPercent val="1"/>
          <c:showBubbleSize val="0"/>
          <c:extLst>
            <c:ext xmlns:c15="http://schemas.microsoft.com/office/drawing/2012/chart" uri="{CE6537A1-D6FC-4f65-9D91-7224C49458BB}">
              <c15:layout/>
            </c:ext>
          </c:extLst>
        </c:dLbl>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23755971128608924"/>
          <c:y val="0.20309966462525517"/>
          <c:w val="0.44480686789151358"/>
          <c:h val="0.74134477981918923"/>
        </c:manualLayout>
      </c:layout>
      <c:doughnutChart>
        <c:varyColors val="1"/>
        <c:ser>
          <c:idx val="0"/>
          <c:order val="0"/>
          <c:tx>
            <c:strRef>
              <c:f>RPT!$B$3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AFF-4D47-A2A9-2D95F2733D3C}"/>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AFF-4D47-A2A9-2D95F2733D3C}"/>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AFF-4D47-A2A9-2D95F2733D3C}"/>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AFF-4D47-A2A9-2D95F2733D3C}"/>
              </c:ext>
            </c:extLst>
          </c:dPt>
          <c:dLbls>
            <c:delete val="1"/>
          </c:dLbls>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8-1AFF-4D47-A2A9-2D95F2733D3C}"/>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Product wise Total Sale</a:t>
            </a:r>
          </a:p>
        </c:rich>
      </c:tx>
      <c:layout>
        <c:manualLayout>
          <c:xMode val="edge"/>
          <c:yMode val="edge"/>
          <c:x val="0.33888888888888891"/>
          <c:y val="2.675707203266258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ext>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200415573053368"/>
          <c:y val="0.20772929425488482"/>
          <c:w val="0.44480686789151358"/>
          <c:h val="0.74134477981918923"/>
        </c:manualLayout>
      </c:layout>
      <c:pie3DChart>
        <c:varyColors val="1"/>
        <c:ser>
          <c:idx val="0"/>
          <c:order val="0"/>
          <c:tx>
            <c:strRef>
              <c:f>'RPT (2)'!$B$3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54DE-40EA-9073-AEA682DB5CBE}"/>
              </c:ext>
            </c:extLst>
          </c:dPt>
          <c:dPt>
            <c:idx val="1"/>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54DE-40EA-9073-AEA682DB5CBE}"/>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54DE-40EA-9073-AEA682DB5CBE}"/>
              </c:ext>
            </c:extLst>
          </c:dPt>
          <c:dPt>
            <c:idx val="3"/>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54DE-40EA-9073-AEA682DB5CBE}"/>
              </c:ext>
            </c:extLst>
          </c:dPt>
          <c:dPt>
            <c:idx val="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54DE-40EA-9073-AEA682DB5CBE}"/>
              </c:ext>
            </c:extLst>
          </c:dPt>
          <c:dPt>
            <c:idx val="5"/>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54DE-40EA-9073-AEA682DB5C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C-54DE-40EA-9073-AEA682DB5CBE}"/>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Area wise Product Quantity</a:t>
            </a:r>
          </a:p>
        </c:rich>
      </c:tx>
      <c:layout>
        <c:manualLayout>
          <c:xMode val="edge"/>
          <c:yMode val="edge"/>
          <c:x val="0.20365431385297023"/>
          <c:y val="2.212744240303295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3200415573053368"/>
          <c:y val="0.15588546223388744"/>
          <c:w val="0.5365498808061836"/>
          <c:h val="0.75986329833770783"/>
        </c:manualLayout>
      </c:layout>
      <c:barChart>
        <c:barDir val="bar"/>
        <c:grouping val="clustered"/>
        <c:varyColors val="0"/>
        <c:ser>
          <c:idx val="0"/>
          <c:order val="0"/>
          <c:tx>
            <c:strRef>
              <c:f>'RPT (3)'!$B$3:$B$4</c:f>
              <c:strCache>
                <c:ptCount val="1"/>
                <c:pt idx="0">
                  <c:v>Computer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'RPT (3)'!$A$5:$A$9</c:f>
              <c:strCache>
                <c:ptCount val="4"/>
                <c:pt idx="0">
                  <c:v>East</c:v>
                </c:pt>
                <c:pt idx="1">
                  <c:v>North</c:v>
                </c:pt>
                <c:pt idx="2">
                  <c:v>South</c:v>
                </c:pt>
                <c:pt idx="3">
                  <c:v>West</c:v>
                </c:pt>
              </c:strCache>
            </c:strRef>
          </c:cat>
          <c:val>
            <c:numRef>
              <c:f>'RPT (3)'!$B$5:$B$9</c:f>
              <c:numCache>
                <c:formatCode>General</c:formatCode>
                <c:ptCount val="4"/>
                <c:pt idx="0">
                  <c:v>47</c:v>
                </c:pt>
                <c:pt idx="1">
                  <c:v>41</c:v>
                </c:pt>
                <c:pt idx="3">
                  <c:v>37</c:v>
                </c:pt>
              </c:numCache>
            </c:numRef>
          </c:val>
          <c:extLst>
            <c:ext xmlns:c16="http://schemas.microsoft.com/office/drawing/2014/chart" uri="{C3380CC4-5D6E-409C-BE32-E72D297353CC}">
              <c16:uniqueId val="{00000000-8B7E-4429-A9A4-44FC7EA2E33F}"/>
            </c:ext>
          </c:extLst>
        </c:ser>
        <c:ser>
          <c:idx val="1"/>
          <c:order val="1"/>
          <c:tx>
            <c:strRef>
              <c:f>'RPT (3)'!$C$3:$C$4</c:f>
              <c:strCache>
                <c:ptCount val="1"/>
                <c:pt idx="0">
                  <c:v>Hard Disc</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(3)'!$C$5:$C$9</c:f>
              <c:numCache>
                <c:formatCode>General</c:formatCode>
                <c:ptCount val="4"/>
                <c:pt idx="0">
                  <c:v>45</c:v>
                </c:pt>
                <c:pt idx="2">
                  <c:v>48</c:v>
                </c:pt>
              </c:numCache>
            </c:numRef>
          </c:val>
          <c:extLst>
            <c:ext xmlns:c16="http://schemas.microsoft.com/office/drawing/2014/chart" uri="{C3380CC4-5D6E-409C-BE32-E72D297353CC}">
              <c16:uniqueId val="{00000009-8B7E-4429-A9A4-44FC7EA2E33F}"/>
            </c:ext>
          </c:extLst>
        </c:ser>
        <c:ser>
          <c:idx val="2"/>
          <c:order val="2"/>
          <c:tx>
            <c:strRef>
              <c:f>'RPT (3)'!$D$3:$D$4</c:f>
              <c:strCache>
                <c:ptCount val="1"/>
                <c:pt idx="0">
                  <c:v>Laptop</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(3)'!$D$5:$D$9</c:f>
              <c:numCache>
                <c:formatCode>General</c:formatCode>
                <c:ptCount val="4"/>
                <c:pt idx="1">
                  <c:v>40</c:v>
                </c:pt>
                <c:pt idx="3">
                  <c:v>30</c:v>
                </c:pt>
              </c:numCache>
            </c:numRef>
          </c:val>
          <c:extLst>
            <c:ext xmlns:c16="http://schemas.microsoft.com/office/drawing/2014/chart" uri="{C3380CC4-5D6E-409C-BE32-E72D297353CC}">
              <c16:uniqueId val="{0000000A-8B7E-4429-A9A4-44FC7EA2E33F}"/>
            </c:ext>
          </c:extLst>
        </c:ser>
        <c:ser>
          <c:idx val="3"/>
          <c:order val="3"/>
          <c:tx>
            <c:strRef>
              <c:f>'RPT (3)'!$E$3:$E$4</c:f>
              <c:strCache>
                <c:ptCount val="1"/>
                <c:pt idx="0">
                  <c:v>Mobile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(3)'!$E$5:$E$9</c:f>
              <c:numCache>
                <c:formatCode>General</c:formatCode>
                <c:ptCount val="4"/>
                <c:pt idx="0">
                  <c:v>38</c:v>
                </c:pt>
                <c:pt idx="2">
                  <c:v>42</c:v>
                </c:pt>
                <c:pt idx="3">
                  <c:v>43</c:v>
                </c:pt>
              </c:numCache>
            </c:numRef>
          </c:val>
          <c:extLst>
            <c:ext xmlns:c16="http://schemas.microsoft.com/office/drawing/2014/chart" uri="{C3380CC4-5D6E-409C-BE32-E72D297353CC}">
              <c16:uniqueId val="{0000000B-8B7E-4429-A9A4-44FC7EA2E33F}"/>
            </c:ext>
          </c:extLst>
        </c:ser>
        <c:ser>
          <c:idx val="4"/>
          <c:order val="4"/>
          <c:tx>
            <c:strRef>
              <c:f>'RPT (3)'!$F$3:$F$4</c:f>
              <c:strCache>
                <c:ptCount val="1"/>
                <c:pt idx="0">
                  <c:v>Table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(3)'!$F$5:$F$9</c:f>
              <c:numCache>
                <c:formatCode>General</c:formatCode>
                <c:ptCount val="4"/>
                <c:pt idx="0">
                  <c:v>44</c:v>
                </c:pt>
                <c:pt idx="1">
                  <c:v>56</c:v>
                </c:pt>
                <c:pt idx="2">
                  <c:v>46</c:v>
                </c:pt>
                <c:pt idx="3">
                  <c:v>42</c:v>
                </c:pt>
              </c:numCache>
            </c:numRef>
          </c:val>
          <c:extLst>
            <c:ext xmlns:c16="http://schemas.microsoft.com/office/drawing/2014/chart" uri="{C3380CC4-5D6E-409C-BE32-E72D297353CC}">
              <c16:uniqueId val="{0000000C-8B7E-4429-A9A4-44FC7EA2E33F}"/>
            </c:ext>
          </c:extLst>
        </c:ser>
        <c:ser>
          <c:idx val="5"/>
          <c:order val="5"/>
          <c:tx>
            <c:strRef>
              <c:f>'RPT (3)'!$G$3:$G$4</c:f>
              <c:strCache>
                <c:ptCount val="1"/>
                <c:pt idx="0">
                  <c:v>TV</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(3)'!$G$5:$G$9</c:f>
              <c:numCache>
                <c:formatCode>General</c:formatCode>
                <c:ptCount val="4"/>
                <c:pt idx="0">
                  <c:v>48</c:v>
                </c:pt>
                <c:pt idx="2">
                  <c:v>50</c:v>
                </c:pt>
                <c:pt idx="3">
                  <c:v>38</c:v>
                </c:pt>
              </c:numCache>
            </c:numRef>
          </c:val>
          <c:extLst>
            <c:ext xmlns:c16="http://schemas.microsoft.com/office/drawing/2014/chart" uri="{C3380CC4-5D6E-409C-BE32-E72D297353CC}">
              <c16:uniqueId val="{0000000D-8B7E-4429-A9A4-44FC7EA2E33F}"/>
            </c:ext>
          </c:extLst>
        </c:ser>
        <c:dLbls>
          <c:dLblPos val="inEnd"/>
          <c:showLegendKey val="0"/>
          <c:showVal val="1"/>
          <c:showCatName val="0"/>
          <c:showSerName val="0"/>
          <c:showPercent val="0"/>
          <c:showBubbleSize val="0"/>
        </c:dLbls>
        <c:gapWidth val="115"/>
        <c:overlap val="-20"/>
        <c:axId val="402115016"/>
        <c:axId val="402120592"/>
      </c:barChart>
      <c:valAx>
        <c:axId val="40212059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2115016"/>
        <c:crosses val="autoZero"/>
        <c:crossBetween val="between"/>
      </c:valAx>
      <c:catAx>
        <c:axId val="40211501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212059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Date wise Product Total Sale</a:t>
            </a:r>
          </a:p>
        </c:rich>
      </c:tx>
      <c:layout>
        <c:manualLayout>
          <c:xMode val="edge"/>
          <c:yMode val="edge"/>
          <c:x val="0.33888888888888891"/>
          <c:y val="2.675707203266258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1"/>
          <c:showCatName val="0"/>
          <c:showSerName val="0"/>
          <c:showPercent val="0"/>
          <c:showBubbleSize val="0"/>
          <c:extLst>
            <c:ext xmlns:c15="http://schemas.microsoft.com/office/drawing/2012/chart" uri="{CE6537A1-D6FC-4f65-9D91-7224C49458BB}"/>
          </c:extLst>
        </c:dLbl>
      </c:pivotFmt>
      <c:pivotFmt>
        <c:idx val="21"/>
        <c:dLbl>
          <c:idx val="0"/>
          <c:showLegendKey val="0"/>
          <c:showVal val="1"/>
          <c:showCatName val="0"/>
          <c:showSerName val="0"/>
          <c:showPercent val="0"/>
          <c:showBubbleSize val="0"/>
          <c:extLst>
            <c:ext xmlns:c15="http://schemas.microsoft.com/office/drawing/2012/chart" uri="{CE6537A1-D6FC-4f65-9D91-7224C49458BB}"/>
          </c:extLst>
        </c:dLbl>
      </c:pivotFmt>
      <c:pivotFmt>
        <c:idx val="22"/>
        <c:dLbl>
          <c:idx val="0"/>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dLbl>
          <c:idx val="0"/>
          <c:showLegendKey val="0"/>
          <c:showVal val="1"/>
          <c:showCatName val="0"/>
          <c:showSerName val="0"/>
          <c:showPercent val="0"/>
          <c:showBubbleSize val="0"/>
          <c:extLst>
            <c:ext xmlns:c15="http://schemas.microsoft.com/office/drawing/2012/chart" uri="{CE6537A1-D6FC-4f65-9D91-7224C49458BB}"/>
          </c:extLst>
        </c:dLbl>
      </c:pivotFmt>
      <c:pivotFmt>
        <c:idx val="26"/>
        <c:dLbl>
          <c:idx val="0"/>
          <c:showLegendKey val="0"/>
          <c:showVal val="1"/>
          <c:showCatName val="0"/>
          <c:showSerName val="0"/>
          <c:showPercent val="0"/>
          <c:showBubbleSize val="0"/>
          <c:extLst>
            <c:ext xmlns:c15="http://schemas.microsoft.com/office/drawing/2012/chart" uri="{CE6537A1-D6FC-4f65-9D91-7224C49458BB}"/>
          </c:extLst>
        </c:dLbl>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0.23200415573053368"/>
          <c:y val="0.15233845027531798"/>
          <c:w val="0.52458919962124773"/>
          <c:h val="0.66936423748218421"/>
        </c:manualLayout>
      </c:layout>
      <c:barChart>
        <c:barDir val="col"/>
        <c:grouping val="clustered"/>
        <c:varyColors val="0"/>
        <c:ser>
          <c:idx val="0"/>
          <c:order val="0"/>
          <c:tx>
            <c:strRef>
              <c:f>'RPT (4)'!$B$3:$B$4</c:f>
              <c:strCache>
                <c:ptCount val="1"/>
                <c:pt idx="0">
                  <c:v>1-Jan-2010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16350</c:v>
                </c:pt>
                <c:pt idx="3">
                  <c:v>35120</c:v>
                </c:pt>
                <c:pt idx="4">
                  <c:v>40570</c:v>
                </c:pt>
                <c:pt idx="5">
                  <c:v>45696</c:v>
                </c:pt>
              </c:numCache>
            </c:numRef>
          </c:val>
          <c:extLst>
            <c:ext xmlns:c16="http://schemas.microsoft.com/office/drawing/2014/chart" uri="{C3380CC4-5D6E-409C-BE32-E72D297353CC}">
              <c16:uniqueId val="{00000000-EC39-4110-8662-8005F28CEDB2}"/>
            </c:ext>
          </c:extLst>
        </c:ser>
        <c:ser>
          <c:idx val="1"/>
          <c:order val="1"/>
          <c:tx>
            <c:strRef>
              <c:f>'RPT (4)'!$C$3:$C$4</c:f>
              <c:strCache>
                <c:ptCount val="1"/>
                <c:pt idx="0">
                  <c:v>2-Jan-2010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72165</c:v>
                </c:pt>
                <c:pt idx="1">
                  <c:v>68562</c:v>
                </c:pt>
                <c:pt idx="3">
                  <c:v>35386</c:v>
                </c:pt>
                <c:pt idx="5">
                  <c:v>63536</c:v>
                </c:pt>
              </c:numCache>
            </c:numRef>
          </c:val>
          <c:extLst>
            <c:ext xmlns:c16="http://schemas.microsoft.com/office/drawing/2014/chart" uri="{C3380CC4-5D6E-409C-BE32-E72D297353CC}">
              <c16:uniqueId val="{0000000C-EC39-4110-8662-8005F28CEDB2}"/>
            </c:ext>
          </c:extLst>
        </c:ser>
        <c:ser>
          <c:idx val="2"/>
          <c:order val="2"/>
          <c:tx>
            <c:strRef>
              <c:f>'RPT (4)'!$D$3:$D$4</c:f>
              <c:strCache>
                <c:ptCount val="1"/>
                <c:pt idx="0">
                  <c:v>3-Jan-2010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53449</c:v>
                </c:pt>
                <c:pt idx="2">
                  <c:v>24320</c:v>
                </c:pt>
                <c:pt idx="3">
                  <c:v>63792</c:v>
                </c:pt>
                <c:pt idx="4">
                  <c:v>52200</c:v>
                </c:pt>
              </c:numCache>
            </c:numRef>
          </c:val>
          <c:extLst>
            <c:ext xmlns:c16="http://schemas.microsoft.com/office/drawing/2014/chart" uri="{C3380CC4-5D6E-409C-BE32-E72D297353CC}">
              <c16:uniqueId val="{0000000D-EC39-4110-8662-8005F28CEDB2}"/>
            </c:ext>
          </c:extLst>
        </c:ser>
        <c:ser>
          <c:idx val="3"/>
          <c:order val="3"/>
          <c:tx>
            <c:strRef>
              <c:f>'RPT (4)'!$E$3:$E$4</c:f>
              <c:strCache>
                <c:ptCount val="1"/>
                <c:pt idx="0">
                  <c:v>4-Jan-2010</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29068</c:v>
                </c:pt>
                <c:pt idx="2">
                  <c:v>14286</c:v>
                </c:pt>
                <c:pt idx="4">
                  <c:v>32880</c:v>
                </c:pt>
                <c:pt idx="5">
                  <c:v>23460</c:v>
                </c:pt>
              </c:numCache>
            </c:numRef>
          </c:val>
          <c:extLst>
            <c:ext xmlns:c16="http://schemas.microsoft.com/office/drawing/2014/chart" uri="{C3380CC4-5D6E-409C-BE32-E72D297353CC}">
              <c16:uniqueId val="{0000000E-EC39-4110-8662-8005F28CEDB2}"/>
            </c:ext>
          </c:extLst>
        </c:ser>
        <c:ser>
          <c:idx val="4"/>
          <c:order val="4"/>
          <c:tx>
            <c:strRef>
              <c:f>'RPT (4)'!$F$3:$F$4</c:f>
              <c:strCache>
                <c:ptCount val="1"/>
                <c:pt idx="0">
                  <c:v>5-Jan-2010</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66164</c:v>
                </c:pt>
                <c:pt idx="2">
                  <c:v>45690</c:v>
                </c:pt>
                <c:pt idx="4">
                  <c:v>70060</c:v>
                </c:pt>
                <c:pt idx="5">
                  <c:v>39624</c:v>
                </c:pt>
              </c:numCache>
            </c:numRef>
          </c:val>
          <c:extLst>
            <c:ext xmlns:c16="http://schemas.microsoft.com/office/drawing/2014/chart" uri="{C3380CC4-5D6E-409C-BE32-E72D297353CC}">
              <c16:uniqueId val="{0000000F-EC39-4110-8662-8005F28CEDB2}"/>
            </c:ext>
          </c:extLst>
        </c:ser>
        <c:ser>
          <c:idx val="5"/>
          <c:order val="5"/>
          <c:tx>
            <c:strRef>
              <c:f>'RPT (4)'!$G$3:$G$4</c:f>
              <c:strCache>
                <c:ptCount val="1"/>
                <c:pt idx="0">
                  <c:v>6-Jan-2010</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31760</c:v>
                </c:pt>
                <c:pt idx="3">
                  <c:v>102080</c:v>
                </c:pt>
                <c:pt idx="4">
                  <c:v>147168</c:v>
                </c:pt>
                <c:pt idx="5">
                  <c:v>83204</c:v>
                </c:pt>
              </c:numCache>
            </c:numRef>
          </c:val>
          <c:extLst>
            <c:ext xmlns:c16="http://schemas.microsoft.com/office/drawing/2014/chart" uri="{C3380CC4-5D6E-409C-BE32-E72D297353CC}">
              <c16:uniqueId val="{00000010-EC39-4110-8662-8005F28CEDB2}"/>
            </c:ext>
          </c:extLst>
        </c:ser>
        <c:ser>
          <c:idx val="6"/>
          <c:order val="6"/>
          <c:tx>
            <c:strRef>
              <c:f>'RPT (4)'!$H$3:$H$4</c:f>
              <c:strCache>
                <c:ptCount val="1"/>
                <c:pt idx="0">
                  <c:v>7-Jan-2010</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100608</c:v>
                </c:pt>
                <c:pt idx="1">
                  <c:v>75930</c:v>
                </c:pt>
                <c:pt idx="3">
                  <c:v>84690</c:v>
                </c:pt>
                <c:pt idx="5">
                  <c:v>147520</c:v>
                </c:pt>
              </c:numCache>
            </c:numRef>
          </c:val>
          <c:extLst>
            <c:ext xmlns:c16="http://schemas.microsoft.com/office/drawing/2014/chart" uri="{C3380CC4-5D6E-409C-BE32-E72D297353CC}">
              <c16:uniqueId val="{00000011-EC39-4110-8662-8005F28CEDB2}"/>
            </c:ext>
          </c:extLst>
        </c:ser>
        <c:ser>
          <c:idx val="7"/>
          <c:order val="7"/>
          <c:tx>
            <c:strRef>
              <c:f>'RPT (4)'!$I$3:$I$4</c:f>
              <c:strCache>
                <c:ptCount val="1"/>
                <c:pt idx="0">
                  <c:v>8-Jan-2010</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19172</c:v>
                </c:pt>
                <c:pt idx="3">
                  <c:v>122616</c:v>
                </c:pt>
                <c:pt idx="4">
                  <c:v>113496</c:v>
                </c:pt>
              </c:numCache>
            </c:numRef>
          </c:val>
          <c:extLst>
            <c:ext xmlns:c16="http://schemas.microsoft.com/office/drawing/2014/chart" uri="{C3380CC4-5D6E-409C-BE32-E72D297353CC}">
              <c16:uniqueId val="{00000012-EC39-4110-8662-8005F28CEDB2}"/>
            </c:ext>
          </c:extLst>
        </c:ser>
        <c:ser>
          <c:idx val="8"/>
          <c:order val="8"/>
          <c:tx>
            <c:strRef>
              <c:f>'RPT (4)'!$J$3:$J$4</c:f>
              <c:strCache>
                <c:ptCount val="1"/>
                <c:pt idx="0">
                  <c:v>9-Jan-2010</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96168</c:v>
                </c:pt>
                <c:pt idx="2">
                  <c:v>22040</c:v>
                </c:pt>
                <c:pt idx="4">
                  <c:v>110572</c:v>
                </c:pt>
                <c:pt idx="5">
                  <c:v>61732</c:v>
                </c:pt>
              </c:numCache>
            </c:numRef>
          </c:val>
          <c:extLst>
            <c:ext xmlns:c16="http://schemas.microsoft.com/office/drawing/2014/chart" uri="{C3380CC4-5D6E-409C-BE32-E72D297353CC}">
              <c16:uniqueId val="{00000013-EC39-4110-8662-8005F28CEDB2}"/>
            </c:ext>
          </c:extLst>
        </c:ser>
        <c:ser>
          <c:idx val="9"/>
          <c:order val="9"/>
          <c:tx>
            <c:strRef>
              <c:f>'RPT (4)'!$K$3:$K$4</c:f>
              <c:strCache>
                <c:ptCount val="1"/>
                <c:pt idx="0">
                  <c:v>10-Jan-2010</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69180</c:v>
                </c:pt>
                <c:pt idx="4">
                  <c:v>150588</c:v>
                </c:pt>
                <c:pt idx="5">
                  <c:v>33500</c:v>
                </c:pt>
              </c:numCache>
            </c:numRef>
          </c:val>
          <c:extLst>
            <c:ext xmlns:c16="http://schemas.microsoft.com/office/drawing/2014/chart" uri="{C3380CC4-5D6E-409C-BE32-E72D297353CC}">
              <c16:uniqueId val="{00000014-EC39-4110-8662-8005F28CEDB2}"/>
            </c:ext>
          </c:extLst>
        </c:ser>
        <c:dLbls>
          <c:showLegendKey val="0"/>
          <c:showVal val="0"/>
          <c:showCatName val="0"/>
          <c:showSerName val="0"/>
          <c:showPercent val="0"/>
          <c:showBubbleSize val="0"/>
        </c:dLbls>
        <c:gapWidth val="100"/>
        <c:overlap val="-24"/>
        <c:axId val="446508336"/>
        <c:axId val="446515224"/>
      </c:barChart>
      <c:catAx>
        <c:axId val="4465083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515224"/>
        <c:crosses val="autoZero"/>
        <c:auto val="1"/>
        <c:lblAlgn val="ctr"/>
        <c:lblOffset val="100"/>
        <c:noMultiLvlLbl val="0"/>
      </c:catAx>
      <c:valAx>
        <c:axId val="4465152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5083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Date wise Product Total Sale</a:t>
            </a:r>
          </a:p>
        </c:rich>
      </c:tx>
      <c:layout>
        <c:manualLayout>
          <c:xMode val="edge"/>
          <c:yMode val="edge"/>
          <c:x val="0.33888888888888891"/>
          <c:y val="2.675707203266258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19"/>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20"/>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21"/>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22"/>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23"/>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24"/>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25"/>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26"/>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s>
    <c:plotArea>
      <c:layout>
        <c:manualLayout>
          <c:layoutTarget val="inner"/>
          <c:xMode val="edge"/>
          <c:yMode val="edge"/>
          <c:x val="0.23200415573053368"/>
          <c:y val="0.15233845027531798"/>
          <c:w val="0.52458919962124773"/>
          <c:h val="0.66936423748218421"/>
        </c:manualLayout>
      </c:layout>
      <c:barChart>
        <c:barDir val="col"/>
        <c:grouping val="clustered"/>
        <c:varyColors val="0"/>
        <c:ser>
          <c:idx val="0"/>
          <c:order val="0"/>
          <c:tx>
            <c:strRef>
              <c:f>'RPT (4)'!$B$3:$B$4</c:f>
              <c:strCache>
                <c:ptCount val="1"/>
                <c:pt idx="0">
                  <c:v>1-Jan-2010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(4)'!$B$5:$B$11</c:f>
              <c:numCache>
                <c:formatCode>General</c:formatCode>
                <c:ptCount val="6"/>
                <c:pt idx="2">
                  <c:v>16350</c:v>
                </c:pt>
                <c:pt idx="3">
                  <c:v>35120</c:v>
                </c:pt>
                <c:pt idx="4">
                  <c:v>40570</c:v>
                </c:pt>
                <c:pt idx="5">
                  <c:v>45696</c:v>
                </c:pt>
              </c:numCache>
            </c:numRef>
          </c:val>
          <c:extLst>
            <c:ext xmlns:c16="http://schemas.microsoft.com/office/drawing/2014/chart" uri="{C3380CC4-5D6E-409C-BE32-E72D297353CC}">
              <c16:uniqueId val="{00000008-BFBE-4315-915B-07342DF6D3BD}"/>
            </c:ext>
          </c:extLst>
        </c:ser>
        <c:ser>
          <c:idx val="1"/>
          <c:order val="1"/>
          <c:tx>
            <c:strRef>
              <c:f>'RPT (4)'!$C$3:$C$4</c:f>
              <c:strCache>
                <c:ptCount val="1"/>
                <c:pt idx="0">
                  <c:v>2-Jan-2010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(4)'!$C$5:$C$11</c:f>
              <c:numCache>
                <c:formatCode>General</c:formatCode>
                <c:ptCount val="6"/>
                <c:pt idx="0">
                  <c:v>72165</c:v>
                </c:pt>
                <c:pt idx="1">
                  <c:v>68562</c:v>
                </c:pt>
                <c:pt idx="3">
                  <c:v>35386</c:v>
                </c:pt>
                <c:pt idx="5">
                  <c:v>63536</c:v>
                </c:pt>
              </c:numCache>
            </c:numRef>
          </c:val>
          <c:extLst>
            <c:ext xmlns:c16="http://schemas.microsoft.com/office/drawing/2014/chart" uri="{C3380CC4-5D6E-409C-BE32-E72D297353CC}">
              <c16:uniqueId val="{00000014-BFBE-4315-915B-07342DF6D3BD}"/>
            </c:ext>
          </c:extLst>
        </c:ser>
        <c:ser>
          <c:idx val="2"/>
          <c:order val="2"/>
          <c:tx>
            <c:strRef>
              <c:f>'RPT (4)'!$D$3:$D$4</c:f>
              <c:strCache>
                <c:ptCount val="1"/>
                <c:pt idx="0">
                  <c:v>3-Jan-2010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(4)'!$D$5:$D$11</c:f>
              <c:numCache>
                <c:formatCode>General</c:formatCode>
                <c:ptCount val="6"/>
                <c:pt idx="0">
                  <c:v>53449</c:v>
                </c:pt>
                <c:pt idx="2">
                  <c:v>24320</c:v>
                </c:pt>
                <c:pt idx="3">
                  <c:v>63792</c:v>
                </c:pt>
                <c:pt idx="4">
                  <c:v>52200</c:v>
                </c:pt>
              </c:numCache>
            </c:numRef>
          </c:val>
          <c:extLst>
            <c:ext xmlns:c16="http://schemas.microsoft.com/office/drawing/2014/chart" uri="{C3380CC4-5D6E-409C-BE32-E72D297353CC}">
              <c16:uniqueId val="{00000015-BFBE-4315-915B-07342DF6D3BD}"/>
            </c:ext>
          </c:extLst>
        </c:ser>
        <c:ser>
          <c:idx val="3"/>
          <c:order val="3"/>
          <c:tx>
            <c:strRef>
              <c:f>'RPT (4)'!$E$3:$E$4</c:f>
              <c:strCache>
                <c:ptCount val="1"/>
                <c:pt idx="0">
                  <c:v>4-Jan-2010</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(4)'!$E$5:$E$11</c:f>
              <c:numCache>
                <c:formatCode>General</c:formatCode>
                <c:ptCount val="6"/>
                <c:pt idx="0">
                  <c:v>29068</c:v>
                </c:pt>
                <c:pt idx="2">
                  <c:v>14286</c:v>
                </c:pt>
                <c:pt idx="4">
                  <c:v>32880</c:v>
                </c:pt>
                <c:pt idx="5">
                  <c:v>23460</c:v>
                </c:pt>
              </c:numCache>
            </c:numRef>
          </c:val>
          <c:extLst>
            <c:ext xmlns:c16="http://schemas.microsoft.com/office/drawing/2014/chart" uri="{C3380CC4-5D6E-409C-BE32-E72D297353CC}">
              <c16:uniqueId val="{00000016-BFBE-4315-915B-07342DF6D3BD}"/>
            </c:ext>
          </c:extLst>
        </c:ser>
        <c:ser>
          <c:idx val="4"/>
          <c:order val="4"/>
          <c:tx>
            <c:strRef>
              <c:f>'RPT (4)'!$F$3:$F$4</c:f>
              <c:strCache>
                <c:ptCount val="1"/>
                <c:pt idx="0">
                  <c:v>5-Jan-2010</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(4)'!$F$5:$F$11</c:f>
              <c:numCache>
                <c:formatCode>General</c:formatCode>
                <c:ptCount val="6"/>
                <c:pt idx="1">
                  <c:v>66164</c:v>
                </c:pt>
                <c:pt idx="2">
                  <c:v>45690</c:v>
                </c:pt>
                <c:pt idx="4">
                  <c:v>70060</c:v>
                </c:pt>
                <c:pt idx="5">
                  <c:v>39624</c:v>
                </c:pt>
              </c:numCache>
            </c:numRef>
          </c:val>
          <c:extLst>
            <c:ext xmlns:c16="http://schemas.microsoft.com/office/drawing/2014/chart" uri="{C3380CC4-5D6E-409C-BE32-E72D297353CC}">
              <c16:uniqueId val="{00000017-BFBE-4315-915B-07342DF6D3BD}"/>
            </c:ext>
          </c:extLst>
        </c:ser>
        <c:ser>
          <c:idx val="5"/>
          <c:order val="5"/>
          <c:tx>
            <c:strRef>
              <c:f>'RPT (4)'!$G$3:$G$4</c:f>
              <c:strCache>
                <c:ptCount val="1"/>
                <c:pt idx="0">
                  <c:v>6-Jan-2010</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(4)'!$G$5:$G$11</c:f>
              <c:numCache>
                <c:formatCode>General</c:formatCode>
                <c:ptCount val="6"/>
                <c:pt idx="2">
                  <c:v>31760</c:v>
                </c:pt>
                <c:pt idx="3">
                  <c:v>102080</c:v>
                </c:pt>
                <c:pt idx="4">
                  <c:v>147168</c:v>
                </c:pt>
                <c:pt idx="5">
                  <c:v>83204</c:v>
                </c:pt>
              </c:numCache>
            </c:numRef>
          </c:val>
          <c:extLst>
            <c:ext xmlns:c16="http://schemas.microsoft.com/office/drawing/2014/chart" uri="{C3380CC4-5D6E-409C-BE32-E72D297353CC}">
              <c16:uniqueId val="{00000018-BFBE-4315-915B-07342DF6D3BD}"/>
            </c:ext>
          </c:extLst>
        </c:ser>
        <c:ser>
          <c:idx val="6"/>
          <c:order val="6"/>
          <c:tx>
            <c:strRef>
              <c:f>'RPT (4)'!$H$3:$H$4</c:f>
              <c:strCache>
                <c:ptCount val="1"/>
                <c:pt idx="0">
                  <c:v>7-Jan-2010</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(4)'!$H$5:$H$11</c:f>
              <c:numCache>
                <c:formatCode>General</c:formatCode>
                <c:ptCount val="6"/>
                <c:pt idx="0">
                  <c:v>100608</c:v>
                </c:pt>
                <c:pt idx="1">
                  <c:v>75930</c:v>
                </c:pt>
                <c:pt idx="3">
                  <c:v>84690</c:v>
                </c:pt>
                <c:pt idx="5">
                  <c:v>147520</c:v>
                </c:pt>
              </c:numCache>
            </c:numRef>
          </c:val>
          <c:extLst>
            <c:ext xmlns:c16="http://schemas.microsoft.com/office/drawing/2014/chart" uri="{C3380CC4-5D6E-409C-BE32-E72D297353CC}">
              <c16:uniqueId val="{00000019-BFBE-4315-915B-07342DF6D3BD}"/>
            </c:ext>
          </c:extLst>
        </c:ser>
        <c:ser>
          <c:idx val="7"/>
          <c:order val="7"/>
          <c:tx>
            <c:strRef>
              <c:f>'RPT (4)'!$I$3:$I$4</c:f>
              <c:strCache>
                <c:ptCount val="1"/>
                <c:pt idx="0">
                  <c:v>8-Jan-2010</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(4)'!$I$5:$I$11</c:f>
              <c:numCache>
                <c:formatCode>General</c:formatCode>
                <c:ptCount val="6"/>
                <c:pt idx="0">
                  <c:v>79956</c:v>
                </c:pt>
                <c:pt idx="2">
                  <c:v>19172</c:v>
                </c:pt>
                <c:pt idx="3">
                  <c:v>122616</c:v>
                </c:pt>
                <c:pt idx="4">
                  <c:v>113496</c:v>
                </c:pt>
              </c:numCache>
            </c:numRef>
          </c:val>
          <c:extLst>
            <c:ext xmlns:c16="http://schemas.microsoft.com/office/drawing/2014/chart" uri="{C3380CC4-5D6E-409C-BE32-E72D297353CC}">
              <c16:uniqueId val="{0000001A-BFBE-4315-915B-07342DF6D3BD}"/>
            </c:ext>
          </c:extLst>
        </c:ser>
        <c:ser>
          <c:idx val="8"/>
          <c:order val="8"/>
          <c:tx>
            <c:strRef>
              <c:f>'RPT (4)'!$J$3:$J$4</c:f>
              <c:strCache>
                <c:ptCount val="1"/>
                <c:pt idx="0">
                  <c:v>9-Jan-2010</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(4)'!$J$5:$J$11</c:f>
              <c:numCache>
                <c:formatCode>General</c:formatCode>
                <c:ptCount val="6"/>
                <c:pt idx="0">
                  <c:v>96168</c:v>
                </c:pt>
                <c:pt idx="2">
                  <c:v>22040</c:v>
                </c:pt>
                <c:pt idx="4">
                  <c:v>110572</c:v>
                </c:pt>
                <c:pt idx="5">
                  <c:v>61732</c:v>
                </c:pt>
              </c:numCache>
            </c:numRef>
          </c:val>
          <c:extLst>
            <c:ext xmlns:c16="http://schemas.microsoft.com/office/drawing/2014/chart" uri="{C3380CC4-5D6E-409C-BE32-E72D297353CC}">
              <c16:uniqueId val="{0000001B-BFBE-4315-915B-07342DF6D3BD}"/>
            </c:ext>
          </c:extLst>
        </c:ser>
        <c:ser>
          <c:idx val="9"/>
          <c:order val="9"/>
          <c:tx>
            <c:strRef>
              <c:f>'RPT (4)'!$K$3:$K$4</c:f>
              <c:strCache>
                <c:ptCount val="1"/>
                <c:pt idx="0">
                  <c:v>10-Jan-2010</c:v>
                </c:pt>
              </c:strCache>
            </c:strRef>
          </c:tx>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'RPT (4)'!$A$5:$A$11</c:f>
              <c:strCache>
                <c:ptCount val="6"/>
                <c:pt idx="0">
                  <c:v>Computer</c:v>
                </c:pt>
                <c:pt idx="1">
                  <c:v>Hard Disc</c:v>
                </c:pt>
                <c:pt idx="2">
                  <c:v>Laptop</c:v>
                </c:pt>
                <c:pt idx="3">
                  <c:v>Mobile</c:v>
                </c:pt>
                <c:pt idx="4">
                  <c:v>Table</c:v>
                </c:pt>
                <c:pt idx="5">
                  <c:v>TV</c:v>
                </c:pt>
              </c:strCache>
            </c:strRef>
          </c:cat>
          <c:val>
            <c:numRef>
              <c:f>'RPT (4)'!$K$5:$K$11</c:f>
              <c:numCache>
                <c:formatCode>General</c:formatCode>
                <c:ptCount val="6"/>
                <c:pt idx="1">
                  <c:v>82404</c:v>
                </c:pt>
                <c:pt idx="2">
                  <c:v>69180</c:v>
                </c:pt>
                <c:pt idx="4">
                  <c:v>150588</c:v>
                </c:pt>
                <c:pt idx="5">
                  <c:v>33500</c:v>
                </c:pt>
              </c:numCache>
            </c:numRef>
          </c:val>
          <c:extLst>
            <c:ext xmlns:c16="http://schemas.microsoft.com/office/drawing/2014/chart" uri="{C3380CC4-5D6E-409C-BE32-E72D297353CC}">
              <c16:uniqueId val="{0000001C-BFBE-4315-915B-07342DF6D3BD}"/>
            </c:ext>
          </c:extLst>
        </c:ser>
        <c:dLbls>
          <c:showLegendKey val="0"/>
          <c:showVal val="0"/>
          <c:showCatName val="0"/>
          <c:showSerName val="0"/>
          <c:showPercent val="0"/>
          <c:showBubbleSize val="0"/>
        </c:dLbls>
        <c:gapWidth val="100"/>
        <c:overlap val="-24"/>
        <c:axId val="446508336"/>
        <c:axId val="446515224"/>
      </c:barChart>
      <c:catAx>
        <c:axId val="4465083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515224"/>
        <c:auto val="1"/>
        <c:lblAlgn val="ctr"/>
        <c:lblOffset val="100"/>
        <c:noMultiLvlLbl val="0"/>
      </c:catAx>
      <c:valAx>
        <c:axId val="4465152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508336"/>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Area wise Product Quantity</a:t>
            </a:r>
          </a:p>
        </c:rich>
      </c:tx>
      <c:layout>
        <c:manualLayout>
          <c:xMode val="edge"/>
          <c:yMode val="edge"/>
          <c:x val="0.20365431385297023"/>
          <c:y val="2.212744240303295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14"/>
        <c:dLbl>
          <c:idx val="0"/>
          <c:layout/>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3200415573053368"/>
          <c:y val="0.15588546223388744"/>
          <c:w val="0.5365498808061836"/>
          <c:h val="0.75986329833770783"/>
        </c:manualLayout>
      </c:layout>
      <c:barChart>
        <c:barDir val="bar"/>
        <c:grouping val="clustered"/>
        <c:varyColors val="0"/>
        <c:ser>
          <c:idx val="0"/>
          <c:order val="0"/>
          <c:tx>
            <c:strRef>
              <c:f>'RPT (3)'!$B$3:$B$4</c:f>
              <c:strCache>
                <c:ptCount val="1"/>
                <c:pt idx="0">
                  <c:v>Computer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'RPT (3)'!$A$5:$A$9</c:f>
              <c:strCache>
                <c:ptCount val="4"/>
                <c:pt idx="0">
                  <c:v>East</c:v>
                </c:pt>
                <c:pt idx="1">
                  <c:v>North</c:v>
                </c:pt>
                <c:pt idx="2">
                  <c:v>South</c:v>
                </c:pt>
                <c:pt idx="3">
                  <c:v>West</c:v>
                </c:pt>
              </c:strCache>
            </c:strRef>
          </c:cat>
          <c:val>
            <c:numRef>
              <c:f>'RPT (3)'!$B$5:$B$9</c:f>
              <c:numCache>
                <c:formatCode>General</c:formatCode>
                <c:ptCount val="4"/>
                <c:pt idx="0">
                  <c:v>47</c:v>
                </c:pt>
                <c:pt idx="1">
                  <c:v>41</c:v>
                </c:pt>
                <c:pt idx="3">
                  <c:v>37</c:v>
                </c:pt>
              </c:numCache>
            </c:numRef>
          </c:val>
          <c:extLst>
            <c:ext xmlns:c16="http://schemas.microsoft.com/office/drawing/2014/chart" uri="{C3380CC4-5D6E-409C-BE32-E72D297353CC}">
              <c16:uniqueId val="{00000008-6640-484B-B469-C0D1717E81A0}"/>
            </c:ext>
          </c:extLst>
        </c:ser>
        <c:ser>
          <c:idx val="1"/>
          <c:order val="1"/>
          <c:tx>
            <c:strRef>
              <c:f>'RPT (3)'!$C$3:$C$4</c:f>
              <c:strCache>
                <c:ptCount val="1"/>
                <c:pt idx="0">
                  <c:v>Hard Disc</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(3)'!$C$5:$C$9</c:f>
              <c:numCache>
                <c:formatCode>General</c:formatCode>
                <c:ptCount val="4"/>
                <c:pt idx="0">
                  <c:v>45</c:v>
                </c:pt>
                <c:pt idx="2">
                  <c:v>48</c:v>
                </c:pt>
              </c:numCache>
            </c:numRef>
          </c:val>
          <c:extLst>
            <c:ext xmlns:c16="http://schemas.microsoft.com/office/drawing/2014/chart" uri="{C3380CC4-5D6E-409C-BE32-E72D297353CC}">
              <c16:uniqueId val="{00000014-6640-484B-B469-C0D1717E81A0}"/>
            </c:ext>
          </c:extLst>
        </c:ser>
        <c:ser>
          <c:idx val="2"/>
          <c:order val="2"/>
          <c:tx>
            <c:strRef>
              <c:f>'RPT (3)'!$D$3:$D$4</c:f>
              <c:strCache>
                <c:ptCount val="1"/>
                <c:pt idx="0">
                  <c:v>Laptop</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(3)'!$D$5:$D$9</c:f>
              <c:numCache>
                <c:formatCode>General</c:formatCode>
                <c:ptCount val="4"/>
                <c:pt idx="1">
                  <c:v>40</c:v>
                </c:pt>
                <c:pt idx="3">
                  <c:v>30</c:v>
                </c:pt>
              </c:numCache>
            </c:numRef>
          </c:val>
          <c:extLst>
            <c:ext xmlns:c16="http://schemas.microsoft.com/office/drawing/2014/chart" uri="{C3380CC4-5D6E-409C-BE32-E72D297353CC}">
              <c16:uniqueId val="{00000015-6640-484B-B469-C0D1717E81A0}"/>
            </c:ext>
          </c:extLst>
        </c:ser>
        <c:ser>
          <c:idx val="3"/>
          <c:order val="3"/>
          <c:tx>
            <c:strRef>
              <c:f>'RPT (3)'!$E$3:$E$4</c:f>
              <c:strCache>
                <c:ptCount val="1"/>
                <c:pt idx="0">
                  <c:v>Mobile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(3)'!$E$5:$E$9</c:f>
              <c:numCache>
                <c:formatCode>General</c:formatCode>
                <c:ptCount val="4"/>
                <c:pt idx="0">
                  <c:v>38</c:v>
                </c:pt>
                <c:pt idx="2">
                  <c:v>42</c:v>
                </c:pt>
                <c:pt idx="3">
                  <c:v>43</c:v>
                </c:pt>
              </c:numCache>
            </c:numRef>
          </c:val>
          <c:extLst>
            <c:ext xmlns:c16="http://schemas.microsoft.com/office/drawing/2014/chart" uri="{C3380CC4-5D6E-409C-BE32-E72D297353CC}">
              <c16:uniqueId val="{00000016-6640-484B-B469-C0D1717E81A0}"/>
            </c:ext>
          </c:extLst>
        </c:ser>
        <c:ser>
          <c:idx val="4"/>
          <c:order val="4"/>
          <c:tx>
            <c:strRef>
              <c:f>'RPT (3)'!$F$3:$F$4</c:f>
              <c:strCache>
                <c:ptCount val="1"/>
                <c:pt idx="0">
                  <c:v>Table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(3)'!$F$5:$F$9</c:f>
              <c:numCache>
                <c:formatCode>General</c:formatCode>
                <c:ptCount val="4"/>
                <c:pt idx="0">
                  <c:v>44</c:v>
                </c:pt>
                <c:pt idx="1">
                  <c:v>56</c:v>
                </c:pt>
                <c:pt idx="2">
                  <c:v>46</c:v>
                </c:pt>
                <c:pt idx="3">
                  <c:v>42</c:v>
                </c:pt>
              </c:numCache>
            </c:numRef>
          </c:val>
          <c:extLst>
            <c:ext xmlns:c16="http://schemas.microsoft.com/office/drawing/2014/chart" uri="{C3380CC4-5D6E-409C-BE32-E72D297353CC}">
              <c16:uniqueId val="{00000017-6640-484B-B469-C0D1717E81A0}"/>
            </c:ext>
          </c:extLst>
        </c:ser>
        <c:ser>
          <c:idx val="5"/>
          <c:order val="5"/>
          <c:tx>
            <c:strRef>
              <c:f>'RPT (3)'!$G$3:$G$4</c:f>
              <c:strCache>
                <c:ptCount val="1"/>
                <c:pt idx="0">
                  <c:v>TV</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'RPT (3)'!$A$5:$A$9</c:f>
              <c:strCache>
                <c:ptCount val="4"/>
                <c:pt idx="0">
                  <c:v>East</c:v>
                </c:pt>
                <c:pt idx="1">
                  <c:v>North</c:v>
                </c:pt>
                <c:pt idx="2">
                  <c:v>South</c:v>
                </c:pt>
                <c:pt idx="3">
                  <c:v>West</c:v>
                </c:pt>
              </c:strCache>
            </c:strRef>
          </c:cat>
          <c:val>
            <c:numRef>
              <c:f>'RPT (3)'!$G$5:$G$9</c:f>
              <c:numCache>
                <c:formatCode>General</c:formatCode>
                <c:ptCount val="4"/>
                <c:pt idx="0">
                  <c:v>48</c:v>
                </c:pt>
                <c:pt idx="2">
                  <c:v>50</c:v>
                </c:pt>
                <c:pt idx="3">
                  <c:v>38</c:v>
                </c:pt>
              </c:numCache>
            </c:numRef>
          </c:val>
          <c:extLst>
            <c:ext xmlns:c16="http://schemas.microsoft.com/office/drawing/2014/chart" uri="{C3380CC4-5D6E-409C-BE32-E72D297353CC}">
              <c16:uniqueId val="{00000018-6640-484B-B469-C0D1717E81A0}"/>
            </c:ext>
          </c:extLst>
        </c:ser>
        <c:dLbls>
          <c:dLblPos val="inEnd"/>
          <c:showLegendKey val="0"/>
          <c:showVal val="1"/>
          <c:showCatName val="0"/>
          <c:showSerName val="0"/>
          <c:showPercent val="0"/>
          <c:showBubbleSize val="0"/>
        </c:dLbls>
        <c:gapWidth val="115"/>
        <c:overlap val="-20"/>
        <c:axId val="402115016"/>
        <c:axId val="402120592"/>
      </c:barChart>
      <c:valAx>
        <c:axId val="40212059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2115016"/>
        <c:crossBetween val="between"/>
      </c:valAx>
      <c:catAx>
        <c:axId val="40211501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212059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Product wise Total Sale</a:t>
            </a:r>
          </a:p>
        </c:rich>
      </c:tx>
      <c:layout>
        <c:manualLayout>
          <c:xMode val="edge"/>
          <c:yMode val="edge"/>
          <c:x val="0.33888888888888891"/>
          <c:y val="2.675707203266258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layout/>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3200415573053368"/>
          <c:y val="0.20772929425488482"/>
          <c:w val="0.44480686789151358"/>
          <c:h val="0.74134477981918923"/>
        </c:manualLayout>
      </c:layout>
      <c:pie3DChart>
        <c:varyColors val="1"/>
        <c:ser>
          <c:idx val="0"/>
          <c:order val="0"/>
          <c:tx>
            <c:strRef>
              <c:f>'RPT (2)'!$B$3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23C9-4E94-8E5B-F8F951646DA0}"/>
              </c:ext>
            </c:extLst>
          </c:dPt>
          <c:dPt>
            <c:idx val="1"/>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23C9-4E94-8E5B-F8F951646DA0}"/>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23C9-4E94-8E5B-F8F951646DA0}"/>
              </c:ext>
            </c:extLst>
          </c:dPt>
          <c:dPt>
            <c:idx val="3"/>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23C9-4E94-8E5B-F8F951646DA0}"/>
              </c:ext>
            </c:extLst>
          </c:dPt>
          <c:dPt>
            <c:idx val="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5"/>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8-23C9-4E94-8E5B-F8F951646DA0}"/>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Project.xlsm]RPT!PivotTable1</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Area wise Total Sale</a:t>
            </a:r>
          </a:p>
        </c:rich>
      </c:tx>
      <c:layout>
        <c:manualLayout>
          <c:xMode val="edge"/>
          <c:yMode val="edge"/>
          <c:x val="0.33888888888888891"/>
          <c:y val="2.675707203266258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dLbl>
          <c:idx val="0"/>
          <c:layout/>
          <c:showLegendKey val="0"/>
          <c:showVal val="0"/>
          <c:showCatName val="0"/>
          <c:showSerName val="0"/>
          <c:showPercent val="1"/>
          <c:showBubbleSize val="0"/>
          <c:extLst>
            <c:ext xmlns:c15="http://schemas.microsoft.com/office/drawing/2012/chart" uri="{CE6537A1-D6FC-4f65-9D91-7224C49458BB}">
              <c15:layout/>
            </c:ext>
          </c:extLst>
        </c:dLbl>
      </c:pivotFmt>
      <c:pivotFmt>
        <c:idx val="3"/>
        <c:spPr>
          <a:solidFill>
            <a:schemeClr val="accent6"/>
          </a:solidFill>
          <a:ln>
            <a:noFill/>
          </a:ln>
          <a:effectLst>
            <a:outerShdw blurRad="254000" sx="102000" sy="102000" algn="ctr" rotWithShape="0">
              <a:prstClr val="black">
                <a:alpha val="20000"/>
              </a:prstClr>
            </a:outerShdw>
          </a:effectLst>
        </c:spPr>
        <c:marker>
          <c:symbol val="circle"/>
          <c:size val="6"/>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manualLayout>
          <c:layoutTarget val="inner"/>
          <c:xMode val="edge"/>
          <c:yMode val="edge"/>
          <c:x val="0.23200415573053368"/>
          <c:y val="0.20772929425488482"/>
          <c:w val="0.44480686789151358"/>
          <c:h val="0.74134477981918923"/>
        </c:manualLayout>
      </c:layout>
      <c:doughnutChart>
        <c:varyColors val="1"/>
        <c:ser>
          <c:idx val="0"/>
          <c:order val="0"/>
          <c:tx>
            <c:strRef>
              <c:f>RPT!$B$3</c:f>
              <c:strCache>
                <c:ptCount val="1"/>
                <c:pt idx="0">
                  <c:v>Total</c:v>
                </c:pt>
              </c:strCache>
            </c:strRef>
          </c:tx>
          <c:dPt>
            <c:idx val="0"/>
            <c:bubble3D val="0"/>
            <c:spPr>
              <a:solidFill>
                <a:schemeClr val="accent6"/>
              </a:solidFill>
              <a:ln>
                <a:noFill/>
              </a:ln>
              <a:effectLst>
                <a:outerShdw blurRad="254000" sx="102000" sy="102000" algn="ctr" rotWithShape="0">
                  <a:prstClr val="black">
                    <a:alpha val="20000"/>
                  </a:prstClr>
                </a:outerShdw>
              </a:effectLst>
            </c:spPr>
          </c:dPt>
          <c:dPt>
            <c:idx val="1"/>
            <c:bubble3D val="0"/>
            <c:spPr>
              <a:solidFill>
                <a:schemeClr val="accent5"/>
              </a:solidFill>
              <a:ln>
                <a:noFill/>
              </a:ln>
              <a:effectLst>
                <a:outerShdw blurRad="254000" sx="102000" sy="102000" algn="ctr" rotWithShape="0">
                  <a:prstClr val="black">
                    <a:alpha val="20000"/>
                  </a:prstClr>
                </a:outerShdw>
              </a:effectLst>
            </c:spPr>
          </c:dPt>
          <c:dPt>
            <c:idx val="2"/>
            <c:bubble3D val="0"/>
            <c:spPr>
              <a:solidFill>
                <a:schemeClr val="accent4"/>
              </a:solidFill>
              <a:ln>
                <a:noFill/>
              </a:ln>
              <a:effectLst>
                <a:outerShdw blurRad="254000" sx="102000" sy="102000" algn="ctr" rotWithShape="0">
                  <a:prstClr val="black">
                    <a:alpha val="20000"/>
                  </a:prstClr>
                </a:outerShdw>
              </a:effectLst>
            </c:spPr>
          </c:dPt>
          <c:dPt>
            <c:idx val="3"/>
            <c:bubble3D val="0"/>
            <c:spPr>
              <a:solidFill>
                <a:schemeClr val="accent6">
                  <a:lumMod val="60000"/>
                </a:schemeClr>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0-A4A9-419D-84B3-B977205EF17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304800</xdr:colOff>
      <xdr:row>11</xdr:row>
      <xdr:rowOff>64500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304800</xdr:colOff>
      <xdr:row>0</xdr:row>
      <xdr:rowOff>0</xdr:rowOff>
    </xdr:from>
    <xdr:to>
      <xdr:col>15</xdr:col>
      <xdr:colOff>0</xdr:colOff>
      <xdr:row>11</xdr:row>
      <xdr:rowOff>64500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11</xdr:row>
      <xdr:rowOff>66675</xdr:rowOff>
    </xdr:from>
    <xdr:to>
      <xdr:col>7</xdr:col>
      <xdr:colOff>304800</xdr:colOff>
      <xdr:row>22</xdr:row>
      <xdr:rowOff>131175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304800</xdr:colOff>
      <xdr:row>11</xdr:row>
      <xdr:rowOff>57150</xdr:rowOff>
    </xdr:from>
    <xdr:to>
      <xdr:col>15</xdr:col>
      <xdr:colOff>0</xdr:colOff>
      <xdr:row>22</xdr:row>
      <xdr:rowOff>121650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8</xdr:row>
      <xdr:rowOff>180975</xdr:rowOff>
    </xdr:from>
    <xdr:to>
      <xdr:col>20</xdr:col>
      <xdr:colOff>409575</xdr:colOff>
      <xdr:row>16</xdr:row>
      <xdr:rowOff>161925</xdr:rowOff>
    </xdr:to>
    <mc:AlternateContent xmlns:mc="http://schemas.openxmlformats.org/markup-compatibility/2006">
      <mc:Choice xmlns:a14="http://schemas.microsoft.com/office/drawing/2010/main" Requires="a14">
        <xdr:graphicFrame macro="">
          <xdr:nvGraphicFramePr>
            <xdr:cNvPr id="6"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9144000" y="1704975"/>
              <a:ext cx="3457575" cy="1504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3</xdr:row>
      <xdr:rowOff>123825</xdr:rowOff>
    </xdr:from>
    <xdr:to>
      <xdr:col>20</xdr:col>
      <xdr:colOff>400050</xdr:colOff>
      <xdr:row>8</xdr:row>
      <xdr:rowOff>171450</xdr:rowOff>
    </xdr:to>
    <mc:AlternateContent xmlns:mc="http://schemas.openxmlformats.org/markup-compatibility/2006">
      <mc:Choice xmlns:a14="http://schemas.microsoft.com/office/drawing/2010/main" Requires="a14">
        <xdr:graphicFrame macro="">
          <xdr:nvGraphicFramePr>
            <xdr:cNvPr id="7"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9144000" y="695325"/>
              <a:ext cx="3448050" cy="1000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9525</xdr:colOff>
      <xdr:row>16</xdr:row>
      <xdr:rowOff>161926</xdr:rowOff>
    </xdr:from>
    <xdr:to>
      <xdr:col>20</xdr:col>
      <xdr:colOff>409575</xdr:colOff>
      <xdr:row>22</xdr:row>
      <xdr:rowOff>66676</xdr:rowOff>
    </xdr:to>
    <mc:AlternateContent xmlns:mc="http://schemas.openxmlformats.org/markup-compatibility/2006">
      <mc:Choice xmlns:a14="http://schemas.microsoft.com/office/drawing/2010/main" Requires="a14">
        <xdr:graphicFrame macro="">
          <xdr:nvGraphicFramePr>
            <xdr:cNvPr id="8" name="Name"/>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9153525" y="3209926"/>
              <a:ext cx="3448050" cy="1047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0</xdr:colOff>
      <xdr:row>0</xdr:row>
      <xdr:rowOff>9525</xdr:rowOff>
    </xdr:from>
    <xdr:to>
      <xdr:col>20</xdr:col>
      <xdr:colOff>371475</xdr:colOff>
      <xdr:row>3</xdr:row>
      <xdr:rowOff>123825</xdr:rowOff>
    </xdr:to>
    <mc:AlternateContent xmlns:mc="http://schemas.openxmlformats.org/markup-compatibility/2006">
      <mc:Choice xmlns:a14="http://schemas.microsoft.com/office/drawing/2010/main" Requires="a14">
        <xdr:graphicFrame macro="">
          <xdr:nvGraphicFramePr>
            <xdr:cNvPr id="9" name="Area"/>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9144000" y="9525"/>
              <a:ext cx="3419475" cy="685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52387</xdr:colOff>
      <xdr:row>11</xdr:row>
      <xdr:rowOff>47624</xdr:rowOff>
    </xdr:from>
    <xdr:to>
      <xdr:col>10</xdr:col>
      <xdr:colOff>504825</xdr:colOff>
      <xdr:row>28</xdr:row>
      <xdr:rowOff>19049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404812</xdr:colOff>
      <xdr:row>0</xdr:row>
      <xdr:rowOff>66674</xdr:rowOff>
    </xdr:from>
    <xdr:to>
      <xdr:col>15</xdr:col>
      <xdr:colOff>476250</xdr:colOff>
      <xdr:row>15</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319087</xdr:colOff>
      <xdr:row>1</xdr:row>
      <xdr:rowOff>9525</xdr:rowOff>
    </xdr:from>
    <xdr:to>
      <xdr:col>13</xdr:col>
      <xdr:colOff>14287</xdr:colOff>
      <xdr:row>15</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319087</xdr:colOff>
      <xdr:row>1</xdr:row>
      <xdr:rowOff>9525</xdr:rowOff>
    </xdr:from>
    <xdr:to>
      <xdr:col>13</xdr:col>
      <xdr:colOff>14287</xdr:colOff>
      <xdr:row>15</xdr:row>
      <xdr:rowOff>85725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anadip" refreshedDate="44126.563505555554" createdVersion="6" refreshedVersion="6" minRefreshableVersion="3" recordCount="61">
  <cacheSource type="worksheet">
    <worksheetSource name="Data"/>
  </cacheSource>
  <cacheFields count="8">
    <cacheField name="Sr. No." numFmtId="0">
      <sharedItems containsSemiMixedTypes="0" containsString="0" containsNumber="1" containsInteger="1" minValue="1" maxValue="6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9586" maxValue="75294"/>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1"/>
    <x v="0"/>
    <x v="1"/>
    <n v="16"/>
    <n v="2856"/>
    <n v="45696"/>
  </r>
  <r>
    <n v="17"/>
    <x v="1"/>
    <x v="0"/>
    <x v="1"/>
    <x v="1"/>
    <n v="13"/>
    <n v="2722"/>
    <n v="35386"/>
  </r>
  <r>
    <n v="18"/>
    <x v="2"/>
    <x v="3"/>
    <x v="2"/>
    <x v="1"/>
    <n v="18"/>
    <n v="2900"/>
    <n v="52200"/>
  </r>
  <r>
    <n v="19"/>
    <x v="3"/>
    <x v="2"/>
    <x v="3"/>
    <x v="1"/>
    <n v="13"/>
    <n v="2236"/>
    <n v="29068"/>
  </r>
  <r>
    <n v="20"/>
    <x v="4"/>
    <x v="5"/>
    <x v="4"/>
    <x v="1"/>
    <n v="10"/>
    <n v="4569"/>
    <n v="45690"/>
  </r>
  <r>
    <n v="21"/>
    <x v="5"/>
    <x v="1"/>
    <x v="0"/>
    <x v="1"/>
    <n v="11"/>
    <n v="3782"/>
    <n v="41602"/>
  </r>
  <r>
    <n v="22"/>
    <x v="6"/>
    <x v="0"/>
    <x v="1"/>
    <x v="1"/>
    <n v="15"/>
    <n v="2823"/>
    <n v="42345"/>
  </r>
  <r>
    <n v="23"/>
    <x v="7"/>
    <x v="3"/>
    <x v="2"/>
    <x v="1"/>
    <n v="12"/>
    <n v="4729"/>
    <n v="56748"/>
  </r>
  <r>
    <n v="24"/>
    <x v="8"/>
    <x v="2"/>
    <x v="3"/>
    <x v="1"/>
    <n v="12"/>
    <n v="4007"/>
    <n v="48084"/>
  </r>
  <r>
    <n v="25"/>
    <x v="9"/>
    <x v="5"/>
    <x v="4"/>
    <x v="1"/>
    <n v="10"/>
    <n v="3459"/>
    <n v="345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0"/>
    <x v="3"/>
    <x v="0"/>
    <x v="2"/>
    <n v="10"/>
    <n v="4057"/>
    <n v="40570"/>
  </r>
  <r>
    <n v="32"/>
    <x v="1"/>
    <x v="4"/>
    <x v="1"/>
    <x v="2"/>
    <n v="18"/>
    <n v="3809"/>
    <n v="68562"/>
  </r>
  <r>
    <n v="33"/>
    <x v="2"/>
    <x v="0"/>
    <x v="2"/>
    <x v="2"/>
    <n v="16"/>
    <n v="3987"/>
    <n v="63792"/>
  </r>
  <r>
    <n v="34"/>
    <x v="3"/>
    <x v="1"/>
    <x v="3"/>
    <x v="2"/>
    <n v="10"/>
    <n v="2346"/>
    <n v="23460"/>
  </r>
  <r>
    <n v="35"/>
    <x v="4"/>
    <x v="1"/>
    <x v="4"/>
    <x v="2"/>
    <n v="8"/>
    <n v="4953"/>
    <n v="39624"/>
  </r>
  <r>
    <n v="36"/>
    <x v="5"/>
    <x v="3"/>
    <x v="0"/>
    <x v="2"/>
    <n v="18"/>
    <n v="4088"/>
    <n v="73584"/>
  </r>
  <r>
    <n v="37"/>
    <x v="6"/>
    <x v="4"/>
    <x v="1"/>
    <x v="2"/>
    <n v="15"/>
    <n v="2531"/>
    <n v="37965"/>
  </r>
  <r>
    <n v="38"/>
    <x v="7"/>
    <x v="0"/>
    <x v="2"/>
    <x v="2"/>
    <n v="13"/>
    <n v="4716"/>
    <n v="61308"/>
  </r>
  <r>
    <n v="39"/>
    <x v="8"/>
    <x v="1"/>
    <x v="3"/>
    <x v="2"/>
    <n v="11"/>
    <n v="2806"/>
    <n v="30866"/>
  </r>
  <r>
    <n v="40"/>
    <x v="9"/>
    <x v="1"/>
    <x v="4"/>
    <x v="2"/>
    <n v="5"/>
    <n v="3350"/>
    <n v="16750"/>
  </r>
  <r>
    <n v="41"/>
    <x v="5"/>
    <x v="3"/>
    <x v="0"/>
    <x v="2"/>
    <n v="18"/>
    <n v="4088"/>
    <n v="73584"/>
  </r>
  <r>
    <n v="42"/>
    <x v="6"/>
    <x v="4"/>
    <x v="1"/>
    <x v="2"/>
    <n v="15"/>
    <n v="2531"/>
    <n v="37965"/>
  </r>
  <r>
    <n v="43"/>
    <x v="7"/>
    <x v="0"/>
    <x v="2"/>
    <x v="2"/>
    <n v="13"/>
    <n v="4716"/>
    <n v="61308"/>
  </r>
  <r>
    <n v="44"/>
    <x v="8"/>
    <x v="1"/>
    <x v="3"/>
    <x v="2"/>
    <n v="11"/>
    <n v="2806"/>
    <n v="30866"/>
  </r>
  <r>
    <n v="45"/>
    <x v="9"/>
    <x v="1"/>
    <x v="4"/>
    <x v="2"/>
    <n v="5"/>
    <n v="3350"/>
    <n v="16750"/>
  </r>
  <r>
    <n v="46"/>
    <x v="0"/>
    <x v="5"/>
    <x v="0"/>
    <x v="3"/>
    <n v="5"/>
    <n v="3270"/>
    <n v="16350"/>
  </r>
  <r>
    <n v="47"/>
    <x v="1"/>
    <x v="2"/>
    <x v="1"/>
    <x v="3"/>
    <n v="17"/>
    <n v="4245"/>
    <n v="72165"/>
  </r>
  <r>
    <n v="48"/>
    <x v="2"/>
    <x v="5"/>
    <x v="2"/>
    <x v="3"/>
    <n v="5"/>
    <n v="4864"/>
    <n v="24320"/>
  </r>
  <r>
    <n v="49"/>
    <x v="3"/>
    <x v="5"/>
    <x v="3"/>
    <x v="3"/>
    <n v="6"/>
    <n v="2381"/>
    <n v="14286"/>
  </r>
  <r>
    <n v="50"/>
    <x v="4"/>
    <x v="3"/>
    <x v="4"/>
    <x v="3"/>
    <n v="10"/>
    <n v="3503"/>
    <n v="35030"/>
  </r>
  <r>
    <n v="51"/>
    <x v="5"/>
    <x v="5"/>
    <x v="0"/>
    <x v="3"/>
    <n v="5"/>
    <n v="3176"/>
    <n v="15880"/>
  </r>
  <r>
    <n v="52"/>
    <x v="6"/>
    <x v="2"/>
    <x v="1"/>
    <x v="3"/>
    <n v="12"/>
    <n v="4192"/>
    <n v="50304"/>
  </r>
  <r>
    <n v="53"/>
    <x v="7"/>
    <x v="5"/>
    <x v="2"/>
    <x v="3"/>
    <n v="2"/>
    <n v="4793"/>
    <n v="9586"/>
  </r>
  <r>
    <n v="54"/>
    <x v="8"/>
    <x v="5"/>
    <x v="3"/>
    <x v="3"/>
    <n v="5"/>
    <n v="2204"/>
    <n v="11020"/>
  </r>
  <r>
    <n v="55"/>
    <x v="9"/>
    <x v="3"/>
    <x v="4"/>
    <x v="3"/>
    <n v="18"/>
    <n v="4183"/>
    <n v="75294"/>
  </r>
  <r>
    <n v="56"/>
    <x v="4"/>
    <x v="3"/>
    <x v="4"/>
    <x v="3"/>
    <n v="10"/>
    <n v="3503"/>
    <n v="35030"/>
  </r>
  <r>
    <n v="57"/>
    <x v="5"/>
    <x v="5"/>
    <x v="0"/>
    <x v="3"/>
    <n v="5"/>
    <n v="3176"/>
    <n v="15880"/>
  </r>
  <r>
    <n v="58"/>
    <x v="6"/>
    <x v="2"/>
    <x v="1"/>
    <x v="3"/>
    <n v="12"/>
    <n v="4192"/>
    <n v="50304"/>
  </r>
  <r>
    <n v="59"/>
    <x v="7"/>
    <x v="5"/>
    <x v="2"/>
    <x v="3"/>
    <n v="2"/>
    <n v="4793"/>
    <n v="9586"/>
  </r>
  <r>
    <n v="60"/>
    <x v="8"/>
    <x v="5"/>
    <x v="3"/>
    <x v="3"/>
    <n v="5"/>
    <n v="2204"/>
    <n v="11020"/>
  </r>
  <r>
    <n v="61"/>
    <x v="9"/>
    <x v="3"/>
    <x v="4"/>
    <x v="3"/>
    <n v="18"/>
    <n v="4183"/>
    <n v="752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L11" firstHeaderRow="1" firstDataRow="2" firstDataCol="1"/>
  <pivotFields count="8">
    <pivotField showAll="0"/>
    <pivotField axis="axisCol"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Fields count="1">
    <field x="1"/>
  </colFields>
  <colItems count="11">
    <i>
      <x/>
    </i>
    <i>
      <x v="1"/>
    </i>
    <i>
      <x v="2"/>
    </i>
    <i>
      <x v="3"/>
    </i>
    <i>
      <x v="4"/>
    </i>
    <i>
      <x v="5"/>
    </i>
    <i>
      <x v="6"/>
    </i>
    <i>
      <x v="7"/>
    </i>
    <i>
      <x v="8"/>
    </i>
    <i>
      <x v="9"/>
    </i>
    <i t="grand">
      <x/>
    </i>
  </colItems>
  <dataFields count="1">
    <dataField name="Sum of Total" fld="7" baseField="0" baseItem="0"/>
  </dataFields>
  <chartFormats count="33">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4" format="37" series="1">
      <pivotArea type="data" outline="0" fieldPosition="0">
        <references count="2">
          <reference field="4294967294" count="1" selected="0">
            <x v="0"/>
          </reference>
          <reference field="1" count="1" selected="0">
            <x v="0"/>
          </reference>
        </references>
      </pivotArea>
    </chartFormat>
    <chartFormat chart="4" format="38" series="1">
      <pivotArea type="data" outline="0" fieldPosition="0">
        <references count="2">
          <reference field="4294967294" count="1" selected="0">
            <x v="0"/>
          </reference>
          <reference field="1" count="1" selected="0">
            <x v="1"/>
          </reference>
        </references>
      </pivotArea>
    </chartFormat>
    <chartFormat chart="4" format="39" series="1">
      <pivotArea type="data" outline="0" fieldPosition="0">
        <references count="2">
          <reference field="4294967294" count="1" selected="0">
            <x v="0"/>
          </reference>
          <reference field="1" count="1" selected="0">
            <x v="2"/>
          </reference>
        </references>
      </pivotArea>
    </chartFormat>
    <chartFormat chart="4" format="40" series="1">
      <pivotArea type="data" outline="0" fieldPosition="0">
        <references count="2">
          <reference field="4294967294" count="1" selected="0">
            <x v="0"/>
          </reference>
          <reference field="1" count="1" selected="0">
            <x v="3"/>
          </reference>
        </references>
      </pivotArea>
    </chartFormat>
    <chartFormat chart="4" format="41" series="1">
      <pivotArea type="data" outline="0" fieldPosition="0">
        <references count="2">
          <reference field="4294967294" count="1" selected="0">
            <x v="0"/>
          </reference>
          <reference field="1" count="1" selected="0">
            <x v="4"/>
          </reference>
        </references>
      </pivotArea>
    </chartFormat>
    <chartFormat chart="4" format="42" series="1">
      <pivotArea type="data" outline="0" fieldPosition="0">
        <references count="2">
          <reference field="4294967294" count="1" selected="0">
            <x v="0"/>
          </reference>
          <reference field="1" count="1" selected="0">
            <x v="5"/>
          </reference>
        </references>
      </pivotArea>
    </chartFormat>
    <chartFormat chart="4" format="43" series="1">
      <pivotArea type="data" outline="0" fieldPosition="0">
        <references count="2">
          <reference field="4294967294" count="1" selected="0">
            <x v="0"/>
          </reference>
          <reference field="1" count="1" selected="0">
            <x v="6"/>
          </reference>
        </references>
      </pivotArea>
    </chartFormat>
    <chartFormat chart="4" format="44" series="1">
      <pivotArea type="data" outline="0" fieldPosition="0">
        <references count="2">
          <reference field="4294967294" count="1" selected="0">
            <x v="0"/>
          </reference>
          <reference field="1" count="1" selected="0">
            <x v="7"/>
          </reference>
        </references>
      </pivotArea>
    </chartFormat>
    <chartFormat chart="4" format="45" series="1">
      <pivotArea type="data" outline="0" fieldPosition="0">
        <references count="2">
          <reference field="4294967294" count="1" selected="0">
            <x v="0"/>
          </reference>
          <reference field="1" count="1" selected="0">
            <x v="8"/>
          </reference>
        </references>
      </pivotArea>
    </chartFormat>
    <chartFormat chart="4" format="46" series="1">
      <pivotArea type="data" outline="0" fieldPosition="0">
        <references count="2">
          <reference field="4294967294" count="1" selected="0">
            <x v="0"/>
          </reference>
          <reference field="1" count="1" selected="0">
            <x v="9"/>
          </reference>
        </references>
      </pivotArea>
    </chartFormat>
    <chartFormat chart="5" format="36" series="1">
      <pivotArea type="data" outline="0" fieldPosition="0">
        <references count="2">
          <reference field="4294967294" count="1" selected="0">
            <x v="0"/>
          </reference>
          <reference field="1" count="1" selected="0">
            <x v="0"/>
          </reference>
        </references>
      </pivotArea>
    </chartFormat>
    <chartFormat chart="5" format="37" series="1">
      <pivotArea type="data" outline="0" fieldPosition="0">
        <references count="2">
          <reference field="4294967294" count="1" selected="0">
            <x v="0"/>
          </reference>
          <reference field="1" count="1" selected="0">
            <x v="1"/>
          </reference>
        </references>
      </pivotArea>
    </chartFormat>
    <chartFormat chart="5" format="38" series="1">
      <pivotArea type="data" outline="0" fieldPosition="0">
        <references count="2">
          <reference field="4294967294" count="1" selected="0">
            <x v="0"/>
          </reference>
          <reference field="1" count="1" selected="0">
            <x v="2"/>
          </reference>
        </references>
      </pivotArea>
    </chartFormat>
    <chartFormat chart="5" format="39" series="1">
      <pivotArea type="data" outline="0" fieldPosition="0">
        <references count="2">
          <reference field="4294967294" count="1" selected="0">
            <x v="0"/>
          </reference>
          <reference field="1" count="1" selected="0">
            <x v="3"/>
          </reference>
        </references>
      </pivotArea>
    </chartFormat>
    <chartFormat chart="5" format="40" series="1">
      <pivotArea type="data" outline="0" fieldPosition="0">
        <references count="2">
          <reference field="4294967294" count="1" selected="0">
            <x v="0"/>
          </reference>
          <reference field="1" count="1" selected="0">
            <x v="4"/>
          </reference>
        </references>
      </pivotArea>
    </chartFormat>
    <chartFormat chart="5" format="41" series="1">
      <pivotArea type="data" outline="0" fieldPosition="0">
        <references count="2">
          <reference field="4294967294" count="1" selected="0">
            <x v="0"/>
          </reference>
          <reference field="1" count="1" selected="0">
            <x v="5"/>
          </reference>
        </references>
      </pivotArea>
    </chartFormat>
    <chartFormat chart="5" format="42" series="1">
      <pivotArea type="data" outline="0" fieldPosition="0">
        <references count="2">
          <reference field="4294967294" count="1" selected="0">
            <x v="0"/>
          </reference>
          <reference field="1" count="1" selected="0">
            <x v="6"/>
          </reference>
        </references>
      </pivotArea>
    </chartFormat>
    <chartFormat chart="5" format="43" series="1">
      <pivotArea type="data" outline="0" fieldPosition="0">
        <references count="2">
          <reference field="4294967294" count="1" selected="0">
            <x v="0"/>
          </reference>
          <reference field="1" count="1" selected="0">
            <x v="7"/>
          </reference>
        </references>
      </pivotArea>
    </chartFormat>
    <chartFormat chart="5" format="44" series="1">
      <pivotArea type="data" outline="0" fieldPosition="0">
        <references count="2">
          <reference field="4294967294" count="1" selected="0">
            <x v="0"/>
          </reference>
          <reference field="1" count="1" selected="0">
            <x v="8"/>
          </reference>
        </references>
      </pivotArea>
    </chartFormat>
    <chartFormat chart="5" format="45" series="1">
      <pivotArea type="data" outline="0" fieldPosition="0">
        <references count="2">
          <reference field="4294967294" count="1" selected="0">
            <x v="0"/>
          </reference>
          <reference field="1" count="1" selected="0">
            <x v="9"/>
          </reference>
        </references>
      </pivotArea>
    </chartFormat>
    <chartFormat chart="6" format="46" series="1">
      <pivotArea type="data" outline="0" fieldPosition="0">
        <references count="2">
          <reference field="4294967294" count="1" selected="0">
            <x v="0"/>
          </reference>
          <reference field="1" count="1" selected="0">
            <x v="0"/>
          </reference>
        </references>
      </pivotArea>
    </chartFormat>
    <chartFormat chart="6" format="47" series="1">
      <pivotArea type="data" outline="0" fieldPosition="0">
        <references count="2">
          <reference field="4294967294" count="1" selected="0">
            <x v="0"/>
          </reference>
          <reference field="1" count="1" selected="0">
            <x v="1"/>
          </reference>
        </references>
      </pivotArea>
    </chartFormat>
    <chartFormat chart="6" format="48" series="1">
      <pivotArea type="data" outline="0" fieldPosition="0">
        <references count="2">
          <reference field="4294967294" count="1" selected="0">
            <x v="0"/>
          </reference>
          <reference field="1" count="1" selected="0">
            <x v="2"/>
          </reference>
        </references>
      </pivotArea>
    </chartFormat>
    <chartFormat chart="6" format="49" series="1">
      <pivotArea type="data" outline="0" fieldPosition="0">
        <references count="2">
          <reference field="4294967294" count="1" selected="0">
            <x v="0"/>
          </reference>
          <reference field="1" count="1" selected="0">
            <x v="3"/>
          </reference>
        </references>
      </pivotArea>
    </chartFormat>
    <chartFormat chart="6" format="50" series="1">
      <pivotArea type="data" outline="0" fieldPosition="0">
        <references count="2">
          <reference field="4294967294" count="1" selected="0">
            <x v="0"/>
          </reference>
          <reference field="1" count="1" selected="0">
            <x v="4"/>
          </reference>
        </references>
      </pivotArea>
    </chartFormat>
    <chartFormat chart="6" format="51" series="1">
      <pivotArea type="data" outline="0" fieldPosition="0">
        <references count="2">
          <reference field="4294967294" count="1" selected="0">
            <x v="0"/>
          </reference>
          <reference field="1" count="1" selected="0">
            <x v="5"/>
          </reference>
        </references>
      </pivotArea>
    </chartFormat>
    <chartFormat chart="6" format="52" series="1">
      <pivotArea type="data" outline="0" fieldPosition="0">
        <references count="2">
          <reference field="4294967294" count="1" selected="0">
            <x v="0"/>
          </reference>
          <reference field="1" count="1" selected="0">
            <x v="6"/>
          </reference>
        </references>
      </pivotArea>
    </chartFormat>
    <chartFormat chart="6" format="53" series="1">
      <pivotArea type="data" outline="0" fieldPosition="0">
        <references count="2">
          <reference field="4294967294" count="1" selected="0">
            <x v="0"/>
          </reference>
          <reference field="1" count="1" selected="0">
            <x v="7"/>
          </reference>
        </references>
      </pivotArea>
    </chartFormat>
    <chartFormat chart="6" format="54" series="1">
      <pivotArea type="data" outline="0" fieldPosition="0">
        <references count="2">
          <reference field="4294967294" count="1" selected="0">
            <x v="0"/>
          </reference>
          <reference field="1" count="1" selected="0">
            <x v="8"/>
          </reference>
        </references>
      </pivotArea>
    </chartFormat>
    <chartFormat chart="6" format="5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dataField="1" showAll="0"/>
    <pivotField showAll="0"/>
    <pivotField showAll="0"/>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Qty" fld="5" baseField="0" baseItem="0"/>
  </dataFields>
  <chartFormats count="12">
    <chartFormat chart="3" format="19" series="1">
      <pivotArea type="data" outline="0" fieldPosition="0">
        <references count="1">
          <reference field="4294967294" count="1" selected="0">
            <x v="0"/>
          </reference>
        </references>
      </pivotArea>
    </chartFormat>
    <chartFormat chart="3" format="21" series="1">
      <pivotArea type="data" outline="0" fieldPosition="0">
        <references count="2">
          <reference field="4294967294" count="1" selected="0">
            <x v="0"/>
          </reference>
          <reference field="2" count="1" selected="0">
            <x v="1"/>
          </reference>
        </references>
      </pivotArea>
    </chartFormat>
    <chartFormat chart="3" format="22" series="1">
      <pivotArea type="data" outline="0" fieldPosition="0">
        <references count="2">
          <reference field="4294967294" count="1" selected="0">
            <x v="0"/>
          </reference>
          <reference field="2" count="1" selected="0">
            <x v="2"/>
          </reference>
        </references>
      </pivotArea>
    </chartFormat>
    <chartFormat chart="3" format="23" series="1">
      <pivotArea type="data" outline="0" fieldPosition="0">
        <references count="2">
          <reference field="4294967294" count="1" selected="0">
            <x v="0"/>
          </reference>
          <reference field="2" count="1" selected="0">
            <x v="3"/>
          </reference>
        </references>
      </pivotArea>
    </chartFormat>
    <chartFormat chart="3" format="24" series="1">
      <pivotArea type="data" outline="0" fieldPosition="0">
        <references count="2">
          <reference field="4294967294" count="1" selected="0">
            <x v="0"/>
          </reference>
          <reference field="2" count="1" selected="0">
            <x v="4"/>
          </reference>
        </references>
      </pivotArea>
    </chartFormat>
    <chartFormat chart="3" format="25" series="1">
      <pivotArea type="data" outline="0" fieldPosition="0">
        <references count="2">
          <reference field="4294967294" count="1" selected="0">
            <x v="0"/>
          </reference>
          <reference field="2" count="1" selected="0">
            <x v="5"/>
          </reference>
        </references>
      </pivotArea>
    </chartFormat>
    <chartFormat chart="5" format="30" series="1">
      <pivotArea type="data" outline="0" fieldPosition="0">
        <references count="2">
          <reference field="4294967294" count="1" selected="0">
            <x v="0"/>
          </reference>
          <reference field="2" count="1" selected="0">
            <x v="0"/>
          </reference>
        </references>
      </pivotArea>
    </chartFormat>
    <chartFormat chart="5" format="31" series="1">
      <pivotArea type="data" outline="0" fieldPosition="0">
        <references count="2">
          <reference field="4294967294" count="1" selected="0">
            <x v="0"/>
          </reference>
          <reference field="2" count="1" selected="0">
            <x v="1"/>
          </reference>
        </references>
      </pivotArea>
    </chartFormat>
    <chartFormat chart="5" format="32" series="1">
      <pivotArea type="data" outline="0" fieldPosition="0">
        <references count="2">
          <reference field="4294967294" count="1" selected="0">
            <x v="0"/>
          </reference>
          <reference field="2" count="1" selected="0">
            <x v="2"/>
          </reference>
        </references>
      </pivotArea>
    </chartFormat>
    <chartFormat chart="5" format="33" series="1">
      <pivotArea type="data" outline="0" fieldPosition="0">
        <references count="2">
          <reference field="4294967294" count="1" selected="0">
            <x v="0"/>
          </reference>
          <reference field="2" count="1" selected="0">
            <x v="3"/>
          </reference>
        </references>
      </pivotArea>
    </chartFormat>
    <chartFormat chart="5" format="34" series="1">
      <pivotArea type="data" outline="0" fieldPosition="0">
        <references count="2">
          <reference field="4294967294" count="1" selected="0">
            <x v="0"/>
          </reference>
          <reference field="2" count="1" selected="0">
            <x v="4"/>
          </reference>
        </references>
      </pivotArea>
    </chartFormat>
    <chartFormat chart="5" format="35"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10"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Items count="1">
    <i/>
  </colItems>
  <dataFields count="1">
    <dataField name="Sum of Total" fld="7" baseField="0" baseItem="0"/>
  </dataFields>
  <chartFormats count="9">
    <chartFormat chart="1" format="2"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0"/>
          </reference>
        </references>
      </pivotArea>
    </chartFormat>
    <chartFormat chart="4" format="16" series="1">
      <pivotArea type="data" outline="0" fieldPosition="0">
        <references count="1">
          <reference field="4294967294" count="1" selected="0">
            <x v="0"/>
          </reference>
        </references>
      </pivotArea>
    </chartFormat>
    <chartFormat chart="4" format="17">
      <pivotArea type="data" outline="0" fieldPosition="0">
        <references count="2">
          <reference field="4294967294" count="1" selected="0">
            <x v="0"/>
          </reference>
          <reference field="2" count="1" selected="0">
            <x v="0"/>
          </reference>
        </references>
      </pivotArea>
    </chartFormat>
    <chartFormat chart="4" format="18">
      <pivotArea type="data" outline="0" fieldPosition="0">
        <references count="2">
          <reference field="4294967294" count="1" selected="0">
            <x v="0"/>
          </reference>
          <reference field="2" count="1" selected="0">
            <x v="1"/>
          </reference>
        </references>
      </pivotArea>
    </chartFormat>
    <chartFormat chart="4" format="19">
      <pivotArea type="data" outline="0" fieldPosition="0">
        <references count="2">
          <reference field="4294967294" count="1" selected="0">
            <x v="0"/>
          </reference>
          <reference field="2" count="1" selected="0">
            <x v="2"/>
          </reference>
        </references>
      </pivotArea>
    </chartFormat>
    <chartFormat chart="4" format="20">
      <pivotArea type="data" outline="0" fieldPosition="0">
        <references count="2">
          <reference field="4294967294" count="1" selected="0">
            <x v="0"/>
          </reference>
          <reference field="2" count="1" selected="0">
            <x v="3"/>
          </reference>
        </references>
      </pivotArea>
    </chartFormat>
    <chartFormat chart="4" format="21">
      <pivotArea type="data" outline="0" fieldPosition="0">
        <references count="2">
          <reference field="4294967294" count="1" selected="0">
            <x v="0"/>
          </reference>
          <reference field="2" count="1" selected="0">
            <x v="4"/>
          </reference>
        </references>
      </pivotArea>
    </chartFormat>
    <chartFormat chart="4" format="22">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2">
    <chartFormat chart="1" format="3" series="1">
      <pivotArea type="data" outline="0" fieldPosition="0">
        <references count="1">
          <reference field="4294967294" count="1" selected="0">
            <x v="0"/>
          </reference>
        </references>
      </pivotArea>
    </chartFormat>
    <chartFormat chart="3"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22" name="PivotTable1"/>
    <pivotTable tabId="21" name="PivotTable1"/>
    <pivotTable tabId="23" name="PivotTable1"/>
    <pivotTable tabId="24" name="PivotTable1"/>
  </pivotTables>
  <data>
    <tabular pivotCacheId="1">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22" name="PivotTable1"/>
    <pivotTable tabId="21" name="PivotTable1"/>
    <pivotTable tabId="23" name="PivotTable1"/>
    <pivotTable tabId="24" name="PivotTable1"/>
  </pivotTables>
  <data>
    <tabular pivotCacheId="1">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ame" sourceName="Name">
  <pivotTables>
    <pivotTable tabId="22" name="PivotTable1"/>
    <pivotTable tabId="21" name="PivotTable1"/>
    <pivotTable tabId="23" name="PivotTable1"/>
    <pivotTable tabId="24" name="PivotTable1"/>
  </pivotTables>
  <data>
    <tabular pivotCacheId="1">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rea" sourceName="Area">
  <pivotTables>
    <pivotTable tabId="22" name="PivotTable1"/>
    <pivotTable tabId="21" name="PivotTable1"/>
    <pivotTable tabId="23" name="PivotTable1"/>
    <pivotTable tabId="24" name="PivotTable1"/>
  </pivotTables>
  <data>
    <tabular pivotCacheId="1">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cache="Slicer_Date" caption="Date" columnCount="3" style="SlicerStyleDark5" rowHeight="241300"/>
  <slicer name="Product" cache="Slicer_Product" caption="Product" columnCount="3" style="SlicerStyleDark2" rowHeight="241300"/>
  <slicer name="Name" cache="Slicer_Name" caption="Name" columnCount="3" style="SlicerStyleLight2" rowHeight="241300"/>
  <slicer name="Area" cache="Slicer_Area" caption="Area" columnCount="4" style="SlicerStyleDark6" rowHeight="241300"/>
</slicers>
</file>

<file path=xl/tables/table1.xml><?xml version="1.0" encoding="utf-8"?>
<table xmlns="http://schemas.openxmlformats.org/spreadsheetml/2006/main" id="2" name="Data" displayName="Data" ref="A2:H63" totalsRowShown="0">
  <autoFilter ref="A2:H63"/>
  <tableColumns count="8">
    <tableColumn id="1" name="Sr. No."/>
    <tableColumn id="2" name="Date" dataDxfId="0"/>
    <tableColumn id="3" name="Product"/>
    <tableColumn id="4" name="Name"/>
    <tableColumn id="5" name="Area"/>
    <tableColumn id="6" name="Qty"/>
    <tableColumn id="7" name="Cost"/>
    <tableColumn id="8" name="Total">
      <calculatedColumnFormula>F3*G3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workbookViewId="0">
      <selection activeCell="Q11" sqref="Q1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L11"/>
  <sheetViews>
    <sheetView workbookViewId="0">
      <selection activeCell="I5" sqref="I5"/>
    </sheetView>
  </sheetViews>
  <sheetFormatPr defaultRowHeight="15" x14ac:dyDescent="0.25"/>
  <cols>
    <col min="1" max="1" width="13.140625" customWidth="1"/>
    <col min="2" max="2" width="16.28515625" bestFit="1" customWidth="1"/>
    <col min="3" max="3" width="10.28515625" customWidth="1"/>
    <col min="4" max="7" width="10.28515625" bestFit="1" customWidth="1"/>
    <col min="8" max="10" width="10.28515625" customWidth="1"/>
    <col min="11" max="12" width="11.28515625" bestFit="1" customWidth="1"/>
  </cols>
  <sheetData>
    <row r="3" spans="1:12" x14ac:dyDescent="0.25">
      <c r="A3" s="11" t="s">
        <v>42</v>
      </c>
      <c r="B3" s="11" t="s">
        <v>44</v>
      </c>
    </row>
    <row r="4" spans="1:12" x14ac:dyDescent="0.25">
      <c r="A4" s="11" t="s">
        <v>40</v>
      </c>
      <c r="B4" s="3">
        <v>40179</v>
      </c>
      <c r="C4" s="3">
        <v>40180</v>
      </c>
      <c r="D4" s="3">
        <v>40181</v>
      </c>
      <c r="E4" s="3">
        <v>40182</v>
      </c>
      <c r="F4" s="3">
        <v>40183</v>
      </c>
      <c r="G4" s="3">
        <v>40184</v>
      </c>
      <c r="H4" s="3">
        <v>40185</v>
      </c>
      <c r="I4" s="3">
        <v>40186</v>
      </c>
      <c r="J4" s="3">
        <v>40187</v>
      </c>
      <c r="K4" s="3">
        <v>40188</v>
      </c>
      <c r="L4" s="3" t="s">
        <v>41</v>
      </c>
    </row>
    <row r="5" spans="1:12" x14ac:dyDescent="0.25">
      <c r="A5" s="12" t="s">
        <v>12</v>
      </c>
      <c r="B5" s="13"/>
      <c r="C5" s="13">
        <v>72165</v>
      </c>
      <c r="D5" s="13">
        <v>53449</v>
      </c>
      <c r="E5" s="13">
        <v>29068</v>
      </c>
      <c r="F5" s="13"/>
      <c r="G5" s="13"/>
      <c r="H5" s="13">
        <v>100608</v>
      </c>
      <c r="I5" s="13">
        <v>79956</v>
      </c>
      <c r="J5" s="13">
        <v>96168</v>
      </c>
      <c r="K5" s="13"/>
      <c r="L5" s="13">
        <v>431414</v>
      </c>
    </row>
    <row r="6" spans="1:12" x14ac:dyDescent="0.25">
      <c r="A6" s="12" t="s">
        <v>14</v>
      </c>
      <c r="B6" s="13"/>
      <c r="C6" s="13">
        <v>68562</v>
      </c>
      <c r="D6" s="13"/>
      <c r="E6" s="13"/>
      <c r="F6" s="13">
        <v>66164</v>
      </c>
      <c r="G6" s="13"/>
      <c r="H6" s="13">
        <v>75930</v>
      </c>
      <c r="I6" s="13"/>
      <c r="J6" s="13"/>
      <c r="K6" s="13">
        <v>82404</v>
      </c>
      <c r="L6" s="13">
        <v>293060</v>
      </c>
    </row>
    <row r="7" spans="1:12" x14ac:dyDescent="0.25">
      <c r="A7" s="12" t="s">
        <v>13</v>
      </c>
      <c r="B7" s="13">
        <v>16350</v>
      </c>
      <c r="C7" s="13"/>
      <c r="D7" s="13">
        <v>24320</v>
      </c>
      <c r="E7" s="13">
        <v>14286</v>
      </c>
      <c r="F7" s="13">
        <v>45690</v>
      </c>
      <c r="G7" s="13">
        <v>31760</v>
      </c>
      <c r="H7" s="13"/>
      <c r="I7" s="13">
        <v>19172</v>
      </c>
      <c r="J7" s="13">
        <v>22040</v>
      </c>
      <c r="K7" s="13">
        <v>69180</v>
      </c>
      <c r="L7" s="13">
        <v>242798</v>
      </c>
    </row>
    <row r="8" spans="1:12" x14ac:dyDescent="0.25">
      <c r="A8" s="12" t="s">
        <v>10</v>
      </c>
      <c r="B8" s="13">
        <v>35120</v>
      </c>
      <c r="C8" s="13">
        <v>35386</v>
      </c>
      <c r="D8" s="13">
        <v>63792</v>
      </c>
      <c r="E8" s="13"/>
      <c r="F8" s="13"/>
      <c r="G8" s="13">
        <v>102080</v>
      </c>
      <c r="H8" s="13">
        <v>84690</v>
      </c>
      <c r="I8" s="13">
        <v>122616</v>
      </c>
      <c r="J8" s="13"/>
      <c r="K8" s="13"/>
      <c r="L8" s="13">
        <v>443684</v>
      </c>
    </row>
    <row r="9" spans="1:12" x14ac:dyDescent="0.25">
      <c r="A9" s="12" t="s">
        <v>11</v>
      </c>
      <c r="B9" s="13">
        <v>40570</v>
      </c>
      <c r="C9" s="13"/>
      <c r="D9" s="13">
        <v>52200</v>
      </c>
      <c r="E9" s="13">
        <v>32880</v>
      </c>
      <c r="F9" s="13">
        <v>70060</v>
      </c>
      <c r="G9" s="13">
        <v>147168</v>
      </c>
      <c r="H9" s="13"/>
      <c r="I9" s="13">
        <v>113496</v>
      </c>
      <c r="J9" s="13">
        <v>110572</v>
      </c>
      <c r="K9" s="13">
        <v>150588</v>
      </c>
      <c r="L9" s="13">
        <v>717534</v>
      </c>
    </row>
    <row r="10" spans="1:12" x14ac:dyDescent="0.25">
      <c r="A10" s="12" t="s">
        <v>8</v>
      </c>
      <c r="B10" s="13">
        <v>45696</v>
      </c>
      <c r="C10" s="13">
        <v>63536</v>
      </c>
      <c r="D10" s="13"/>
      <c r="E10" s="13">
        <v>23460</v>
      </c>
      <c r="F10" s="13">
        <v>39624</v>
      </c>
      <c r="G10" s="13">
        <v>83204</v>
      </c>
      <c r="H10" s="13">
        <v>147520</v>
      </c>
      <c r="I10" s="13"/>
      <c r="J10" s="13">
        <v>61732</v>
      </c>
      <c r="K10" s="13">
        <v>33500</v>
      </c>
      <c r="L10" s="13">
        <v>498272</v>
      </c>
    </row>
    <row r="11" spans="1:12" x14ac:dyDescent="0.25">
      <c r="A11" s="12" t="s">
        <v>41</v>
      </c>
      <c r="B11" s="13">
        <v>137736</v>
      </c>
      <c r="C11" s="13">
        <v>239649</v>
      </c>
      <c r="D11" s="13">
        <v>193761</v>
      </c>
      <c r="E11" s="13">
        <v>99694</v>
      </c>
      <c r="F11" s="13">
        <v>221538</v>
      </c>
      <c r="G11" s="13">
        <v>364212</v>
      </c>
      <c r="H11" s="13">
        <v>408748</v>
      </c>
      <c r="I11" s="13">
        <v>335240</v>
      </c>
      <c r="J11" s="13">
        <v>290512</v>
      </c>
      <c r="K11" s="13">
        <v>335672</v>
      </c>
      <c r="L11" s="13">
        <v>2626762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9"/>
  <sheetViews>
    <sheetView workbookViewId="0">
      <selection activeCell="O3" sqref="O3"/>
    </sheetView>
  </sheetViews>
  <sheetFormatPr defaultRowHeight="15" x14ac:dyDescent="0.25"/>
  <cols>
    <col min="1" max="1" width="13.140625" customWidth="1"/>
    <col min="2" max="2" width="16.28515625" bestFit="1" customWidth="1"/>
    <col min="3" max="3" width="9.140625" customWidth="1"/>
    <col min="4" max="4" width="7" customWidth="1"/>
    <col min="5" max="5" width="7.42578125" customWidth="1"/>
    <col min="6" max="6" width="5.85546875" customWidth="1"/>
    <col min="7" max="7" width="4" customWidth="1"/>
    <col min="8" max="8" width="11.28515625" bestFit="1" customWidth="1"/>
  </cols>
  <sheetData>
    <row r="3" spans="1:8" x14ac:dyDescent="0.25">
      <c r="A3" s="11" t="s">
        <v>43</v>
      </c>
      <c r="B3" s="11" t="s">
        <v>44</v>
      </c>
    </row>
    <row r="4" spans="1:8" x14ac:dyDescent="0.25">
      <c r="A4" s="11" t="s">
        <v>40</v>
      </c>
      <c r="B4" t="s">
        <v>12</v>
      </c>
      <c r="C4" t="s">
        <v>14</v>
      </c>
      <c r="D4" t="s">
        <v>13</v>
      </c>
      <c r="E4" t="s">
        <v>10</v>
      </c>
      <c r="F4" t="s">
        <v>11</v>
      </c>
      <c r="G4" t="s">
        <v>8</v>
      </c>
      <c r="H4" t="s">
        <v>41</v>
      </c>
    </row>
    <row r="5" spans="1:8" x14ac:dyDescent="0.25">
      <c r="A5" s="12" t="s">
        <v>9</v>
      </c>
      <c r="B5" s="13">
        <v>47</v>
      </c>
      <c r="C5" s="13">
        <v>45</v>
      </c>
      <c r="D5" s="13"/>
      <c r="E5" s="13">
        <v>38</v>
      </c>
      <c r="F5" s="13">
        <v>44</v>
      </c>
      <c r="G5" s="13">
        <v>48</v>
      </c>
      <c r="H5" s="13">
        <v>222</v>
      </c>
    </row>
    <row r="6" spans="1:8" x14ac:dyDescent="0.25">
      <c r="A6" s="12" t="s">
        <v>22</v>
      </c>
      <c r="B6" s="13">
        <v>41</v>
      </c>
      <c r="C6" s="13"/>
      <c r="D6" s="13">
        <v>40</v>
      </c>
      <c r="E6" s="13"/>
      <c r="F6" s="13">
        <v>56</v>
      </c>
      <c r="G6" s="13"/>
      <c r="H6" s="13">
        <v>137</v>
      </c>
    </row>
    <row r="7" spans="1:8" x14ac:dyDescent="0.25">
      <c r="A7" s="12" t="s">
        <v>21</v>
      </c>
      <c r="B7" s="13"/>
      <c r="C7" s="13">
        <v>48</v>
      </c>
      <c r="D7" s="13"/>
      <c r="E7" s="13">
        <v>42</v>
      </c>
      <c r="F7" s="13">
        <v>46</v>
      </c>
      <c r="G7" s="13">
        <v>50</v>
      </c>
      <c r="H7" s="13">
        <v>186</v>
      </c>
    </row>
    <row r="8" spans="1:8" x14ac:dyDescent="0.25">
      <c r="A8" s="12" t="s">
        <v>20</v>
      </c>
      <c r="B8" s="13">
        <v>37</v>
      </c>
      <c r="C8" s="13"/>
      <c r="D8" s="13">
        <v>30</v>
      </c>
      <c r="E8" s="13">
        <v>43</v>
      </c>
      <c r="F8" s="13">
        <v>42</v>
      </c>
      <c r="G8" s="13">
        <v>38</v>
      </c>
      <c r="H8" s="13">
        <v>190</v>
      </c>
    </row>
    <row r="9" spans="1:8" x14ac:dyDescent="0.25">
      <c r="A9" s="12" t="s">
        <v>41</v>
      </c>
      <c r="B9" s="13">
        <v>125</v>
      </c>
      <c r="C9" s="13">
        <v>93</v>
      </c>
      <c r="D9" s="13">
        <v>70</v>
      </c>
      <c r="E9" s="13">
        <v>123</v>
      </c>
      <c r="F9" s="13">
        <v>188</v>
      </c>
      <c r="G9" s="13">
        <v>136</v>
      </c>
      <c r="H9" s="13">
        <v>735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0"/>
  <sheetViews>
    <sheetView workbookViewId="0">
      <selection activeCell="O3" sqref="O3"/>
    </sheetView>
  </sheetViews>
  <sheetFormatPr defaultRowHeight="15" x14ac:dyDescent="0.25"/>
  <cols>
    <col min="1" max="1" width="13.140625" customWidth="1"/>
    <col min="2" max="2" width="12" bestFit="1" customWidth="1"/>
  </cols>
  <sheetData>
    <row r="3" spans="1:2" x14ac:dyDescent="0.25">
      <c r="A3" s="11" t="s">
        <v>40</v>
      </c>
      <c r="B3" t="s">
        <v>42</v>
      </c>
    </row>
    <row r="4" spans="1:2" x14ac:dyDescent="0.25">
      <c r="A4" s="12" t="s">
        <v>12</v>
      </c>
      <c r="B4" s="13">
        <v>431414</v>
      </c>
    </row>
    <row r="5" spans="1:2" x14ac:dyDescent="0.25">
      <c r="A5" s="12" t="s">
        <v>14</v>
      </c>
      <c r="B5" s="13">
        <v>293060</v>
      </c>
    </row>
    <row r="6" spans="1:2" x14ac:dyDescent="0.25">
      <c r="A6" s="12" t="s">
        <v>13</v>
      </c>
      <c r="B6" s="13">
        <v>242798</v>
      </c>
    </row>
    <row r="7" spans="1:2" x14ac:dyDescent="0.25">
      <c r="A7" s="12" t="s">
        <v>10</v>
      </c>
      <c r="B7" s="13">
        <v>443684</v>
      </c>
    </row>
    <row r="8" spans="1:2" x14ac:dyDescent="0.25">
      <c r="A8" s="12" t="s">
        <v>11</v>
      </c>
      <c r="B8" s="13">
        <v>717534</v>
      </c>
    </row>
    <row r="9" spans="1:2" x14ac:dyDescent="0.25">
      <c r="A9" s="12" t="s">
        <v>8</v>
      </c>
      <c r="B9" s="13">
        <v>498272</v>
      </c>
    </row>
    <row r="10" spans="1:2" x14ac:dyDescent="0.25">
      <c r="A10" s="12" t="s">
        <v>41</v>
      </c>
      <c r="B10" s="13">
        <v>2626762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
  <sheetViews>
    <sheetView workbookViewId="0">
      <selection activeCell="N9" sqref="N9"/>
    </sheetView>
  </sheetViews>
  <sheetFormatPr defaultRowHeight="15" x14ac:dyDescent="0.25"/>
  <cols>
    <col min="1" max="1" width="13.140625" bestFit="1" customWidth="1"/>
    <col min="2" max="2" width="12" bestFit="1" customWidth="1"/>
  </cols>
  <sheetData>
    <row r="3" spans="1:2" x14ac:dyDescent="0.25">
      <c r="A3" s="11" t="s">
        <v>40</v>
      </c>
      <c r="B3" t="s">
        <v>42</v>
      </c>
    </row>
    <row r="4" spans="1:2" x14ac:dyDescent="0.25">
      <c r="A4" s="12" t="s">
        <v>9</v>
      </c>
      <c r="B4" s="13">
        <v>773681</v>
      </c>
    </row>
    <row r="5" spans="1:2" x14ac:dyDescent="0.25">
      <c r="A5" s="12" t="s">
        <v>22</v>
      </c>
      <c r="B5" s="13">
        <v>521349</v>
      </c>
    </row>
    <row r="6" spans="1:2" x14ac:dyDescent="0.25">
      <c r="A6" s="12" t="s">
        <v>21</v>
      </c>
      <c r="B6" s="13">
        <v>676954</v>
      </c>
    </row>
    <row r="7" spans="1:2" x14ac:dyDescent="0.25">
      <c r="A7" s="12" t="s">
        <v>20</v>
      </c>
      <c r="B7" s="13">
        <v>654778</v>
      </c>
    </row>
    <row r="8" spans="1:2" x14ac:dyDescent="0.25">
      <c r="A8" s="12" t="s">
        <v>41</v>
      </c>
      <c r="B8" s="13">
        <v>2626762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H63"/>
  <sheetViews>
    <sheetView topLeftCell="A3" workbookViewId="0">
      <selection activeCell="A2" sqref="A2:H63"/>
    </sheetView>
  </sheetViews>
  <sheetFormatPr defaultRowHeight="15" x14ac:dyDescent="0.25"/>
  <cols>
    <col min="2" max="2" width="11.28515625" bestFit="1" customWidth="1"/>
    <col min="3" max="3" width="10" customWidth="1"/>
  </cols>
  <sheetData>
    <row r="2" spans="1:8" x14ac:dyDescent="0.25">
      <c r="A2" t="s">
        <v>7</v>
      </c>
      <c r="B2" t="s">
        <v>0</v>
      </c>
      <c r="C2" t="s">
        <v>1</v>
      </c>
      <c r="D2" t="s">
        <v>2</v>
      </c>
      <c r="E2" t="s">
        <v>3</v>
      </c>
      <c r="F2" t="s">
        <v>4</v>
      </c>
      <c r="G2" t="s">
        <v>5</v>
      </c>
      <c r="H2" t="s">
        <v>6</v>
      </c>
    </row>
    <row r="3" spans="1:8" x14ac:dyDescent="0.25">
      <c r="A3">
        <v>1</v>
      </c>
      <c r="B3" s="3">
        <v>40179</v>
      </c>
      <c r="C3" t="s">
        <v>10</v>
      </c>
      <c r="D3" t="s">
        <v>15</v>
      </c>
      <c r="E3" t="s">
        <v>9</v>
      </c>
      <c r="F3">
        <v>16</v>
      </c>
      <c r="G3">
        <v>2195</v>
      </c>
      <c r="H3">
        <f>F3*G3</f>
        <v>35120</v>
      </c>
    </row>
    <row r="4" spans="1:8" x14ac:dyDescent="0.25">
      <c r="A4">
        <v>2</v>
      </c>
      <c r="B4" s="3">
        <v>40180</v>
      </c>
      <c r="C4" t="s">
        <v>8</v>
      </c>
      <c r="D4" t="s">
        <v>16</v>
      </c>
      <c r="E4" t="s">
        <v>9</v>
      </c>
      <c r="F4">
        <v>16</v>
      </c>
      <c r="G4">
        <v>3971</v>
      </c>
      <c r="H4">
        <f t="shared" ref="H4:H17" si="0">F4*G4</f>
        <v>63536</v>
      </c>
    </row>
    <row r="5" spans="1:8" x14ac:dyDescent="0.25">
      <c r="A5">
        <v>3</v>
      </c>
      <c r="B5" s="3">
        <v>40181</v>
      </c>
      <c r="C5" t="s">
        <v>12</v>
      </c>
      <c r="D5" t="s">
        <v>17</v>
      </c>
      <c r="E5" t="s">
        <v>9</v>
      </c>
      <c r="F5">
        <v>11</v>
      </c>
      <c r="G5">
        <v>4859</v>
      </c>
      <c r="H5">
        <f t="shared" si="0"/>
        <v>53449</v>
      </c>
    </row>
    <row r="6" spans="1:8" x14ac:dyDescent="0.25">
      <c r="A6">
        <v>4</v>
      </c>
      <c r="B6" s="3">
        <v>40182</v>
      </c>
      <c r="C6" t="s">
        <v>11</v>
      </c>
      <c r="D6" t="s">
        <v>18</v>
      </c>
      <c r="E6" t="s">
        <v>9</v>
      </c>
      <c r="F6">
        <v>16</v>
      </c>
      <c r="G6">
        <v>2055</v>
      </c>
      <c r="H6">
        <f t="shared" si="0"/>
        <v>32880</v>
      </c>
    </row>
    <row r="7" spans="1:8" x14ac:dyDescent="0.25">
      <c r="A7">
        <v>5</v>
      </c>
      <c r="B7" s="3">
        <v>40183</v>
      </c>
      <c r="C7" t="s">
        <v>14</v>
      </c>
      <c r="D7" t="s">
        <v>19</v>
      </c>
      <c r="E7" t="s">
        <v>9</v>
      </c>
      <c r="F7">
        <v>17</v>
      </c>
      <c r="G7">
        <v>3892</v>
      </c>
      <c r="H7">
        <f t="shared" si="0"/>
        <v>66164</v>
      </c>
    </row>
    <row r="8" spans="1:8" x14ac:dyDescent="0.25">
      <c r="A8">
        <v>6</v>
      </c>
      <c r="B8" s="3">
        <v>40184</v>
      </c>
      <c r="C8" t="s">
        <v>10</v>
      </c>
      <c r="D8" t="s">
        <v>15</v>
      </c>
      <c r="E8" t="s">
        <v>9</v>
      </c>
      <c r="F8">
        <v>11</v>
      </c>
      <c r="G8">
        <v>4640</v>
      </c>
      <c r="H8">
        <f t="shared" si="0"/>
        <v>51040</v>
      </c>
    </row>
    <row r="9" spans="1:8" x14ac:dyDescent="0.25">
      <c r="A9">
        <v>7</v>
      </c>
      <c r="B9" s="3">
        <v>40185</v>
      </c>
      <c r="C9" t="s">
        <v>8</v>
      </c>
      <c r="D9" t="s">
        <v>16</v>
      </c>
      <c r="E9" t="s">
        <v>9</v>
      </c>
      <c r="F9">
        <v>16</v>
      </c>
      <c r="G9">
        <v>4610</v>
      </c>
      <c r="H9">
        <f t="shared" si="0"/>
        <v>73760</v>
      </c>
    </row>
    <row r="10" spans="1:8" x14ac:dyDescent="0.25">
      <c r="A10">
        <v>8</v>
      </c>
      <c r="B10" s="3">
        <v>40186</v>
      </c>
      <c r="C10" t="s">
        <v>12</v>
      </c>
      <c r="D10" t="s">
        <v>17</v>
      </c>
      <c r="E10" t="s">
        <v>9</v>
      </c>
      <c r="F10">
        <v>18</v>
      </c>
      <c r="G10">
        <v>2221</v>
      </c>
      <c r="H10">
        <f t="shared" si="0"/>
        <v>39978</v>
      </c>
    </row>
    <row r="11" spans="1:8" x14ac:dyDescent="0.25">
      <c r="A11">
        <v>9</v>
      </c>
      <c r="B11" s="3">
        <v>40187</v>
      </c>
      <c r="C11" t="s">
        <v>11</v>
      </c>
      <c r="D11" t="s">
        <v>18</v>
      </c>
      <c r="E11" t="s">
        <v>9</v>
      </c>
      <c r="F11">
        <v>14</v>
      </c>
      <c r="G11">
        <v>3949</v>
      </c>
      <c r="H11">
        <f t="shared" si="0"/>
        <v>55286</v>
      </c>
    </row>
    <row r="12" spans="1:8" x14ac:dyDescent="0.25">
      <c r="A12">
        <v>10</v>
      </c>
      <c r="B12" s="3">
        <v>40188</v>
      </c>
      <c r="C12" t="s">
        <v>14</v>
      </c>
      <c r="D12" t="s">
        <v>19</v>
      </c>
      <c r="E12" t="s">
        <v>9</v>
      </c>
      <c r="F12">
        <v>14</v>
      </c>
      <c r="G12">
        <v>2943</v>
      </c>
      <c r="H12">
        <f t="shared" si="0"/>
        <v>41202</v>
      </c>
    </row>
    <row r="13" spans="1:8" x14ac:dyDescent="0.25">
      <c r="A13">
        <v>11</v>
      </c>
      <c r="B13" s="3">
        <v>40184</v>
      </c>
      <c r="C13" t="s">
        <v>10</v>
      </c>
      <c r="D13" t="s">
        <v>15</v>
      </c>
      <c r="E13" t="s">
        <v>9</v>
      </c>
      <c r="F13">
        <v>11</v>
      </c>
      <c r="G13">
        <v>4640</v>
      </c>
      <c r="H13">
        <f t="shared" si="0"/>
        <v>51040</v>
      </c>
    </row>
    <row r="14" spans="1:8" x14ac:dyDescent="0.25">
      <c r="A14">
        <v>12</v>
      </c>
      <c r="B14" s="3">
        <v>40185</v>
      </c>
      <c r="C14" t="s">
        <v>8</v>
      </c>
      <c r="D14" t="s">
        <v>16</v>
      </c>
      <c r="E14" t="s">
        <v>9</v>
      </c>
      <c r="F14">
        <v>16</v>
      </c>
      <c r="G14">
        <v>4610</v>
      </c>
      <c r="H14">
        <f t="shared" si="0"/>
        <v>73760</v>
      </c>
    </row>
    <row r="15" spans="1:8" x14ac:dyDescent="0.25">
      <c r="A15">
        <v>13</v>
      </c>
      <c r="B15" s="3">
        <v>40186</v>
      </c>
      <c r="C15" t="s">
        <v>12</v>
      </c>
      <c r="D15" t="s">
        <v>17</v>
      </c>
      <c r="E15" t="s">
        <v>9</v>
      </c>
      <c r="F15">
        <v>18</v>
      </c>
      <c r="G15">
        <v>2221</v>
      </c>
      <c r="H15">
        <f t="shared" si="0"/>
        <v>39978</v>
      </c>
    </row>
    <row r="16" spans="1:8" x14ac:dyDescent="0.25">
      <c r="A16">
        <v>14</v>
      </c>
      <c r="B16" s="3">
        <v>40187</v>
      </c>
      <c r="C16" t="s">
        <v>11</v>
      </c>
      <c r="D16" t="s">
        <v>18</v>
      </c>
      <c r="E16" t="s">
        <v>9</v>
      </c>
      <c r="F16">
        <v>14</v>
      </c>
      <c r="G16">
        <v>3949</v>
      </c>
      <c r="H16">
        <f t="shared" si="0"/>
        <v>55286</v>
      </c>
    </row>
    <row r="17" spans="1:8" x14ac:dyDescent="0.25">
      <c r="A17">
        <v>15</v>
      </c>
      <c r="B17" s="3">
        <v>40188</v>
      </c>
      <c r="C17" t="s">
        <v>14</v>
      </c>
      <c r="D17" t="s">
        <v>19</v>
      </c>
      <c r="E17" t="s">
        <v>9</v>
      </c>
      <c r="F17">
        <v>14</v>
      </c>
      <c r="G17">
        <v>2943</v>
      </c>
      <c r="H17">
        <f t="shared" si="0"/>
        <v>41202</v>
      </c>
    </row>
    <row r="18" spans="1:8" x14ac:dyDescent="0.25">
      <c r="A18">
        <v>16</v>
      </c>
      <c r="B18" s="3">
        <v>40179</v>
      </c>
      <c r="C18" t="s">
        <v>8</v>
      </c>
      <c r="D18" t="s">
        <v>15</v>
      </c>
      <c r="E18" t="s">
        <v>20</v>
      </c>
      <c r="F18">
        <v>16</v>
      </c>
      <c r="G18">
        <v>2856</v>
      </c>
      <c r="H18">
        <f>F18*G18</f>
        <v>45696</v>
      </c>
    </row>
    <row r="19" spans="1:8" x14ac:dyDescent="0.25">
      <c r="A19">
        <v>17</v>
      </c>
      <c r="B19" s="3">
        <v>40180</v>
      </c>
      <c r="C19" t="s">
        <v>10</v>
      </c>
      <c r="D19" t="s">
        <v>16</v>
      </c>
      <c r="E19" t="s">
        <v>20</v>
      </c>
      <c r="F19">
        <v>13</v>
      </c>
      <c r="G19">
        <v>2722</v>
      </c>
      <c r="H19">
        <f t="shared" ref="H19:H32" si="1">F19*G19</f>
        <v>35386</v>
      </c>
    </row>
    <row r="20" spans="1:8" x14ac:dyDescent="0.25">
      <c r="A20">
        <v>18</v>
      </c>
      <c r="B20" s="3">
        <v>40181</v>
      </c>
      <c r="C20" t="s">
        <v>11</v>
      </c>
      <c r="D20" t="s">
        <v>17</v>
      </c>
      <c r="E20" t="s">
        <v>20</v>
      </c>
      <c r="F20">
        <v>18</v>
      </c>
      <c r="G20">
        <v>2900</v>
      </c>
      <c r="H20">
        <f t="shared" si="1"/>
        <v>52200</v>
      </c>
    </row>
    <row r="21" spans="1:8" x14ac:dyDescent="0.25">
      <c r="A21">
        <v>19</v>
      </c>
      <c r="B21" s="3">
        <v>40182</v>
      </c>
      <c r="C21" t="s">
        <v>12</v>
      </c>
      <c r="D21" t="s">
        <v>18</v>
      </c>
      <c r="E21" t="s">
        <v>20</v>
      </c>
      <c r="F21">
        <v>13</v>
      </c>
      <c r="G21">
        <v>2236</v>
      </c>
      <c r="H21">
        <f t="shared" si="1"/>
        <v>29068</v>
      </c>
    </row>
    <row r="22" spans="1:8" x14ac:dyDescent="0.25">
      <c r="A22">
        <v>20</v>
      </c>
      <c r="B22" s="3">
        <v>40183</v>
      </c>
      <c r="C22" t="s">
        <v>13</v>
      </c>
      <c r="D22" t="s">
        <v>19</v>
      </c>
      <c r="E22" t="s">
        <v>20</v>
      </c>
      <c r="F22">
        <v>10</v>
      </c>
      <c r="G22">
        <v>4569</v>
      </c>
      <c r="H22">
        <f t="shared" si="1"/>
        <v>45690</v>
      </c>
    </row>
    <row r="23" spans="1:8" x14ac:dyDescent="0.25">
      <c r="A23">
        <v>21</v>
      </c>
      <c r="B23" s="3">
        <v>40184</v>
      </c>
      <c r="C23" t="s">
        <v>8</v>
      </c>
      <c r="D23" t="s">
        <v>15</v>
      </c>
      <c r="E23" t="s">
        <v>20</v>
      </c>
      <c r="F23">
        <v>11</v>
      </c>
      <c r="G23">
        <v>3782</v>
      </c>
      <c r="H23">
        <f t="shared" si="1"/>
        <v>41602</v>
      </c>
    </row>
    <row r="24" spans="1:8" x14ac:dyDescent="0.25">
      <c r="A24">
        <v>22</v>
      </c>
      <c r="B24" s="3">
        <v>40185</v>
      </c>
      <c r="C24" t="s">
        <v>10</v>
      </c>
      <c r="D24" t="s">
        <v>16</v>
      </c>
      <c r="E24" t="s">
        <v>20</v>
      </c>
      <c r="F24">
        <v>15</v>
      </c>
      <c r="G24">
        <v>2823</v>
      </c>
      <c r="H24">
        <f t="shared" si="1"/>
        <v>42345</v>
      </c>
    </row>
    <row r="25" spans="1:8" x14ac:dyDescent="0.25">
      <c r="A25">
        <v>23</v>
      </c>
      <c r="B25" s="3">
        <v>40186</v>
      </c>
      <c r="C25" t="s">
        <v>11</v>
      </c>
      <c r="D25" t="s">
        <v>17</v>
      </c>
      <c r="E25" t="s">
        <v>20</v>
      </c>
      <c r="F25">
        <v>12</v>
      </c>
      <c r="G25">
        <v>4729</v>
      </c>
      <c r="H25">
        <f t="shared" si="1"/>
        <v>56748</v>
      </c>
    </row>
    <row r="26" spans="1:8" x14ac:dyDescent="0.25">
      <c r="A26">
        <v>24</v>
      </c>
      <c r="B26" s="3">
        <v>40187</v>
      </c>
      <c r="C26" t="s">
        <v>12</v>
      </c>
      <c r="D26" t="s">
        <v>18</v>
      </c>
      <c r="E26" t="s">
        <v>20</v>
      </c>
      <c r="F26">
        <v>12</v>
      </c>
      <c r="G26">
        <v>4007</v>
      </c>
      <c r="H26">
        <f t="shared" si="1"/>
        <v>48084</v>
      </c>
    </row>
    <row r="27" spans="1:8" x14ac:dyDescent="0.25">
      <c r="A27">
        <v>25</v>
      </c>
      <c r="B27" s="3">
        <v>40188</v>
      </c>
      <c r="C27" t="s">
        <v>13</v>
      </c>
      <c r="D27" t="s">
        <v>19</v>
      </c>
      <c r="E27" t="s">
        <v>20</v>
      </c>
      <c r="F27">
        <v>10</v>
      </c>
      <c r="G27">
        <v>3459</v>
      </c>
      <c r="H27">
        <f t="shared" si="1"/>
        <v>34590</v>
      </c>
    </row>
    <row r="28" spans="1:8" x14ac:dyDescent="0.25">
      <c r="A28">
        <v>26</v>
      </c>
      <c r="B28" s="3">
        <v>40184</v>
      </c>
      <c r="C28" t="s">
        <v>8</v>
      </c>
      <c r="D28" t="s">
        <v>15</v>
      </c>
      <c r="E28" t="s">
        <v>20</v>
      </c>
      <c r="F28">
        <v>11</v>
      </c>
      <c r="G28">
        <v>3782</v>
      </c>
      <c r="H28">
        <f t="shared" si="1"/>
        <v>41602</v>
      </c>
    </row>
    <row r="29" spans="1:8" x14ac:dyDescent="0.25">
      <c r="A29">
        <v>27</v>
      </c>
      <c r="B29" s="3">
        <v>40185</v>
      </c>
      <c r="C29" t="s">
        <v>10</v>
      </c>
      <c r="D29" t="s">
        <v>16</v>
      </c>
      <c r="E29" t="s">
        <v>20</v>
      </c>
      <c r="F29">
        <v>15</v>
      </c>
      <c r="G29">
        <v>2823</v>
      </c>
      <c r="H29">
        <f t="shared" si="1"/>
        <v>42345</v>
      </c>
    </row>
    <row r="30" spans="1:8" x14ac:dyDescent="0.25">
      <c r="A30">
        <v>28</v>
      </c>
      <c r="B30" s="3">
        <v>40186</v>
      </c>
      <c r="C30" t="s">
        <v>11</v>
      </c>
      <c r="D30" t="s">
        <v>17</v>
      </c>
      <c r="E30" t="s">
        <v>20</v>
      </c>
      <c r="F30">
        <v>12</v>
      </c>
      <c r="G30">
        <v>4729</v>
      </c>
      <c r="H30">
        <f t="shared" si="1"/>
        <v>56748</v>
      </c>
    </row>
    <row r="31" spans="1:8" x14ac:dyDescent="0.25">
      <c r="A31">
        <v>29</v>
      </c>
      <c r="B31" s="3">
        <v>40187</v>
      </c>
      <c r="C31" t="s">
        <v>12</v>
      </c>
      <c r="D31" t="s">
        <v>18</v>
      </c>
      <c r="E31" t="s">
        <v>20</v>
      </c>
      <c r="F31">
        <v>12</v>
      </c>
      <c r="G31">
        <v>4007</v>
      </c>
      <c r="H31">
        <f t="shared" si="1"/>
        <v>48084</v>
      </c>
    </row>
    <row r="32" spans="1:8" x14ac:dyDescent="0.25">
      <c r="A32">
        <v>30</v>
      </c>
      <c r="B32" s="3">
        <v>40188</v>
      </c>
      <c r="C32" t="s">
        <v>13</v>
      </c>
      <c r="D32" t="s">
        <v>19</v>
      </c>
      <c r="E32" t="s">
        <v>20</v>
      </c>
      <c r="F32">
        <v>10</v>
      </c>
      <c r="G32">
        <v>3459</v>
      </c>
      <c r="H32">
        <f t="shared" si="1"/>
        <v>34590</v>
      </c>
    </row>
    <row r="33" spans="1:8" x14ac:dyDescent="0.25">
      <c r="A33">
        <v>31</v>
      </c>
      <c r="B33" s="3">
        <v>40179</v>
      </c>
      <c r="C33" t="s">
        <v>11</v>
      </c>
      <c r="D33" t="s">
        <v>15</v>
      </c>
      <c r="E33" t="s">
        <v>21</v>
      </c>
      <c r="F33">
        <v>10</v>
      </c>
      <c r="G33">
        <v>4057</v>
      </c>
      <c r="H33">
        <f>F33*G33</f>
        <v>40570</v>
      </c>
    </row>
    <row r="34" spans="1:8" x14ac:dyDescent="0.25">
      <c r="A34">
        <v>32</v>
      </c>
      <c r="B34" s="3">
        <v>40180</v>
      </c>
      <c r="C34" t="s">
        <v>14</v>
      </c>
      <c r="D34" t="s">
        <v>16</v>
      </c>
      <c r="E34" t="s">
        <v>21</v>
      </c>
      <c r="F34">
        <v>18</v>
      </c>
      <c r="G34">
        <v>3809</v>
      </c>
      <c r="H34">
        <f t="shared" ref="H34:H47" si="2">F34*G34</f>
        <v>68562</v>
      </c>
    </row>
    <row r="35" spans="1:8" x14ac:dyDescent="0.25">
      <c r="A35">
        <v>33</v>
      </c>
      <c r="B35" s="3">
        <v>40181</v>
      </c>
      <c r="C35" t="s">
        <v>10</v>
      </c>
      <c r="D35" t="s">
        <v>17</v>
      </c>
      <c r="E35" t="s">
        <v>21</v>
      </c>
      <c r="F35">
        <v>16</v>
      </c>
      <c r="G35">
        <v>3987</v>
      </c>
      <c r="H35">
        <f t="shared" si="2"/>
        <v>63792</v>
      </c>
    </row>
    <row r="36" spans="1:8" x14ac:dyDescent="0.25">
      <c r="A36">
        <v>34</v>
      </c>
      <c r="B36" s="3">
        <v>40182</v>
      </c>
      <c r="C36" t="s">
        <v>8</v>
      </c>
      <c r="D36" t="s">
        <v>18</v>
      </c>
      <c r="E36" t="s">
        <v>21</v>
      </c>
      <c r="F36">
        <v>10</v>
      </c>
      <c r="G36">
        <v>2346</v>
      </c>
      <c r="H36">
        <f t="shared" si="2"/>
        <v>23460</v>
      </c>
    </row>
    <row r="37" spans="1:8" x14ac:dyDescent="0.25">
      <c r="A37">
        <v>35</v>
      </c>
      <c r="B37" s="3">
        <v>40183</v>
      </c>
      <c r="C37" t="s">
        <v>8</v>
      </c>
      <c r="D37" t="s">
        <v>19</v>
      </c>
      <c r="E37" t="s">
        <v>21</v>
      </c>
      <c r="F37">
        <v>8</v>
      </c>
      <c r="G37">
        <v>4953</v>
      </c>
      <c r="H37">
        <f t="shared" si="2"/>
        <v>39624</v>
      </c>
    </row>
    <row r="38" spans="1:8" x14ac:dyDescent="0.25">
      <c r="A38">
        <v>36</v>
      </c>
      <c r="B38" s="3">
        <v>40184</v>
      </c>
      <c r="C38" t="s">
        <v>11</v>
      </c>
      <c r="D38" t="s">
        <v>15</v>
      </c>
      <c r="E38" t="s">
        <v>21</v>
      </c>
      <c r="F38">
        <v>18</v>
      </c>
      <c r="G38">
        <v>4088</v>
      </c>
      <c r="H38">
        <f t="shared" si="2"/>
        <v>73584</v>
      </c>
    </row>
    <row r="39" spans="1:8" x14ac:dyDescent="0.25">
      <c r="A39">
        <v>37</v>
      </c>
      <c r="B39" s="3">
        <v>40185</v>
      </c>
      <c r="C39" t="s">
        <v>14</v>
      </c>
      <c r="D39" t="s">
        <v>16</v>
      </c>
      <c r="E39" t="s">
        <v>21</v>
      </c>
      <c r="F39">
        <v>15</v>
      </c>
      <c r="G39">
        <v>2531</v>
      </c>
      <c r="H39">
        <f t="shared" si="2"/>
        <v>37965</v>
      </c>
    </row>
    <row r="40" spans="1:8" x14ac:dyDescent="0.25">
      <c r="A40">
        <v>38</v>
      </c>
      <c r="B40" s="3">
        <v>40186</v>
      </c>
      <c r="C40" t="s">
        <v>10</v>
      </c>
      <c r="D40" t="s">
        <v>17</v>
      </c>
      <c r="E40" t="s">
        <v>21</v>
      </c>
      <c r="F40">
        <v>13</v>
      </c>
      <c r="G40">
        <v>4716</v>
      </c>
      <c r="H40">
        <f t="shared" si="2"/>
        <v>61308</v>
      </c>
    </row>
    <row r="41" spans="1:8" x14ac:dyDescent="0.25">
      <c r="A41">
        <v>39</v>
      </c>
      <c r="B41" s="3">
        <v>40187</v>
      </c>
      <c r="C41" t="s">
        <v>8</v>
      </c>
      <c r="D41" t="s">
        <v>18</v>
      </c>
      <c r="E41" t="s">
        <v>21</v>
      </c>
      <c r="F41">
        <v>11</v>
      </c>
      <c r="G41">
        <v>2806</v>
      </c>
      <c r="H41">
        <f t="shared" si="2"/>
        <v>30866</v>
      </c>
    </row>
    <row r="42" spans="1:8" x14ac:dyDescent="0.25">
      <c r="A42">
        <v>40</v>
      </c>
      <c r="B42" s="3">
        <v>40188</v>
      </c>
      <c r="C42" t="s">
        <v>8</v>
      </c>
      <c r="D42" t="s">
        <v>19</v>
      </c>
      <c r="E42" t="s">
        <v>21</v>
      </c>
      <c r="F42">
        <v>5</v>
      </c>
      <c r="G42">
        <v>3350</v>
      </c>
      <c r="H42">
        <f t="shared" si="2"/>
        <v>16750</v>
      </c>
    </row>
    <row r="43" spans="1:8" x14ac:dyDescent="0.25">
      <c r="A43">
        <v>41</v>
      </c>
      <c r="B43" s="3">
        <v>40184</v>
      </c>
      <c r="C43" t="s">
        <v>11</v>
      </c>
      <c r="D43" t="s">
        <v>15</v>
      </c>
      <c r="E43" t="s">
        <v>21</v>
      </c>
      <c r="F43">
        <v>18</v>
      </c>
      <c r="G43">
        <v>4088</v>
      </c>
      <c r="H43">
        <f t="shared" si="2"/>
        <v>73584</v>
      </c>
    </row>
    <row r="44" spans="1:8" x14ac:dyDescent="0.25">
      <c r="A44">
        <v>42</v>
      </c>
      <c r="B44" s="3">
        <v>40185</v>
      </c>
      <c r="C44" t="s">
        <v>14</v>
      </c>
      <c r="D44" t="s">
        <v>16</v>
      </c>
      <c r="E44" t="s">
        <v>21</v>
      </c>
      <c r="F44">
        <v>15</v>
      </c>
      <c r="G44">
        <v>2531</v>
      </c>
      <c r="H44">
        <f t="shared" si="2"/>
        <v>37965</v>
      </c>
    </row>
    <row r="45" spans="1:8" x14ac:dyDescent="0.25">
      <c r="A45">
        <v>43</v>
      </c>
      <c r="B45" s="3">
        <v>40186</v>
      </c>
      <c r="C45" t="s">
        <v>10</v>
      </c>
      <c r="D45" t="s">
        <v>17</v>
      </c>
      <c r="E45" t="s">
        <v>21</v>
      </c>
      <c r="F45">
        <v>13</v>
      </c>
      <c r="G45">
        <v>4716</v>
      </c>
      <c r="H45">
        <f t="shared" si="2"/>
        <v>61308</v>
      </c>
    </row>
    <row r="46" spans="1:8" x14ac:dyDescent="0.25">
      <c r="A46">
        <v>44</v>
      </c>
      <c r="B46" s="3">
        <v>40187</v>
      </c>
      <c r="C46" t="s">
        <v>8</v>
      </c>
      <c r="D46" t="s">
        <v>18</v>
      </c>
      <c r="E46" t="s">
        <v>21</v>
      </c>
      <c r="F46">
        <v>11</v>
      </c>
      <c r="G46">
        <v>2806</v>
      </c>
      <c r="H46">
        <f t="shared" si="2"/>
        <v>30866</v>
      </c>
    </row>
    <row r="47" spans="1:8" x14ac:dyDescent="0.25">
      <c r="A47">
        <v>45</v>
      </c>
      <c r="B47" s="3">
        <v>40188</v>
      </c>
      <c r="C47" t="s">
        <v>8</v>
      </c>
      <c r="D47" t="s">
        <v>19</v>
      </c>
      <c r="E47" t="s">
        <v>21</v>
      </c>
      <c r="F47">
        <v>5</v>
      </c>
      <c r="G47">
        <v>3350</v>
      </c>
      <c r="H47">
        <f t="shared" si="2"/>
        <v>16750</v>
      </c>
    </row>
    <row r="48" spans="1:8" x14ac:dyDescent="0.25">
      <c r="A48">
        <v>46</v>
      </c>
      <c r="B48" s="3">
        <v>40179</v>
      </c>
      <c r="C48" t="s">
        <v>13</v>
      </c>
      <c r="D48" t="s">
        <v>15</v>
      </c>
      <c r="E48" t="s">
        <v>22</v>
      </c>
      <c r="F48">
        <v>5</v>
      </c>
      <c r="G48">
        <v>3270</v>
      </c>
      <c r="H48">
        <f>F48*G48</f>
        <v>16350</v>
      </c>
    </row>
    <row r="49" spans="1:8" x14ac:dyDescent="0.25">
      <c r="A49">
        <v>47</v>
      </c>
      <c r="B49" s="3">
        <v>40180</v>
      </c>
      <c r="C49" t="s">
        <v>12</v>
      </c>
      <c r="D49" t="s">
        <v>16</v>
      </c>
      <c r="E49" t="s">
        <v>22</v>
      </c>
      <c r="F49">
        <v>17</v>
      </c>
      <c r="G49">
        <v>4245</v>
      </c>
      <c r="H49">
        <f t="shared" ref="H49:H63" si="3">F49*G49</f>
        <v>72165</v>
      </c>
    </row>
    <row r="50" spans="1:8" x14ac:dyDescent="0.25">
      <c r="A50">
        <v>48</v>
      </c>
      <c r="B50" s="3">
        <v>40181</v>
      </c>
      <c r="C50" t="s">
        <v>13</v>
      </c>
      <c r="D50" t="s">
        <v>17</v>
      </c>
      <c r="E50" t="s">
        <v>22</v>
      </c>
      <c r="F50">
        <v>5</v>
      </c>
      <c r="G50">
        <v>4864</v>
      </c>
      <c r="H50">
        <f t="shared" si="3"/>
        <v>24320</v>
      </c>
    </row>
    <row r="51" spans="1:8" x14ac:dyDescent="0.25">
      <c r="A51">
        <v>49</v>
      </c>
      <c r="B51" s="3">
        <v>40182</v>
      </c>
      <c r="C51" t="s">
        <v>13</v>
      </c>
      <c r="D51" t="s">
        <v>18</v>
      </c>
      <c r="E51" t="s">
        <v>22</v>
      </c>
      <c r="F51">
        <v>6</v>
      </c>
      <c r="G51">
        <v>2381</v>
      </c>
      <c r="H51">
        <f t="shared" si="3"/>
        <v>14286</v>
      </c>
    </row>
    <row r="52" spans="1:8" x14ac:dyDescent="0.25">
      <c r="A52">
        <v>50</v>
      </c>
      <c r="B52" s="3">
        <v>40183</v>
      </c>
      <c r="C52" t="s">
        <v>11</v>
      </c>
      <c r="D52" t="s">
        <v>19</v>
      </c>
      <c r="E52" t="s">
        <v>22</v>
      </c>
      <c r="F52">
        <v>10</v>
      </c>
      <c r="G52">
        <v>3503</v>
      </c>
      <c r="H52">
        <f t="shared" si="3"/>
        <v>35030</v>
      </c>
    </row>
    <row r="53" spans="1:8" x14ac:dyDescent="0.25">
      <c r="A53">
        <v>51</v>
      </c>
      <c r="B53" s="3">
        <v>40184</v>
      </c>
      <c r="C53" t="s">
        <v>13</v>
      </c>
      <c r="D53" t="s">
        <v>15</v>
      </c>
      <c r="E53" t="s">
        <v>22</v>
      </c>
      <c r="F53">
        <v>5</v>
      </c>
      <c r="G53">
        <v>3176</v>
      </c>
      <c r="H53">
        <f t="shared" si="3"/>
        <v>15880</v>
      </c>
    </row>
    <row r="54" spans="1:8" x14ac:dyDescent="0.25">
      <c r="A54">
        <v>52</v>
      </c>
      <c r="B54" s="3">
        <v>40185</v>
      </c>
      <c r="C54" t="s">
        <v>12</v>
      </c>
      <c r="D54" t="s">
        <v>16</v>
      </c>
      <c r="E54" t="s">
        <v>22</v>
      </c>
      <c r="F54">
        <v>12</v>
      </c>
      <c r="G54">
        <v>4192</v>
      </c>
      <c r="H54">
        <f t="shared" si="3"/>
        <v>50304</v>
      </c>
    </row>
    <row r="55" spans="1:8" x14ac:dyDescent="0.25">
      <c r="A55">
        <v>53</v>
      </c>
      <c r="B55" s="3">
        <v>40186</v>
      </c>
      <c r="C55" t="s">
        <v>13</v>
      </c>
      <c r="D55" t="s">
        <v>17</v>
      </c>
      <c r="E55" t="s">
        <v>22</v>
      </c>
      <c r="F55">
        <v>2</v>
      </c>
      <c r="G55">
        <v>4793</v>
      </c>
      <c r="H55">
        <f t="shared" si="3"/>
        <v>9586</v>
      </c>
    </row>
    <row r="56" spans="1:8" x14ac:dyDescent="0.25">
      <c r="A56">
        <v>54</v>
      </c>
      <c r="B56" s="3">
        <v>40187</v>
      </c>
      <c r="C56" t="s">
        <v>13</v>
      </c>
      <c r="D56" t="s">
        <v>18</v>
      </c>
      <c r="E56" t="s">
        <v>22</v>
      </c>
      <c r="F56">
        <v>5</v>
      </c>
      <c r="G56">
        <v>2204</v>
      </c>
      <c r="H56">
        <f t="shared" si="3"/>
        <v>11020</v>
      </c>
    </row>
    <row r="57" spans="1:8" x14ac:dyDescent="0.25">
      <c r="A57">
        <v>55</v>
      </c>
      <c r="B57" s="3">
        <v>40188</v>
      </c>
      <c r="C57" t="s">
        <v>11</v>
      </c>
      <c r="D57" t="s">
        <v>19</v>
      </c>
      <c r="E57" t="s">
        <v>22</v>
      </c>
      <c r="F57">
        <v>18</v>
      </c>
      <c r="G57">
        <v>4183</v>
      </c>
      <c r="H57">
        <f t="shared" si="3"/>
        <v>75294</v>
      </c>
    </row>
    <row r="58" spans="1:8" x14ac:dyDescent="0.25">
      <c r="A58">
        <v>56</v>
      </c>
      <c r="B58" s="3">
        <v>40183</v>
      </c>
      <c r="C58" t="s">
        <v>11</v>
      </c>
      <c r="D58" t="s">
        <v>19</v>
      </c>
      <c r="E58" t="s">
        <v>22</v>
      </c>
      <c r="F58">
        <v>10</v>
      </c>
      <c r="G58">
        <v>3503</v>
      </c>
      <c r="H58">
        <f t="shared" si="3"/>
        <v>35030</v>
      </c>
    </row>
    <row r="59" spans="1:8" x14ac:dyDescent="0.25">
      <c r="A59">
        <v>57</v>
      </c>
      <c r="B59" s="3">
        <v>40184</v>
      </c>
      <c r="C59" t="s">
        <v>13</v>
      </c>
      <c r="D59" t="s">
        <v>15</v>
      </c>
      <c r="E59" t="s">
        <v>22</v>
      </c>
      <c r="F59">
        <v>5</v>
      </c>
      <c r="G59">
        <v>3176</v>
      </c>
      <c r="H59">
        <f t="shared" si="3"/>
        <v>15880</v>
      </c>
    </row>
    <row r="60" spans="1:8" x14ac:dyDescent="0.25">
      <c r="A60">
        <v>58</v>
      </c>
      <c r="B60" s="3">
        <v>40185</v>
      </c>
      <c r="C60" t="s">
        <v>12</v>
      </c>
      <c r="D60" t="s">
        <v>16</v>
      </c>
      <c r="E60" t="s">
        <v>22</v>
      </c>
      <c r="F60">
        <v>12</v>
      </c>
      <c r="G60">
        <v>4192</v>
      </c>
      <c r="H60">
        <f t="shared" si="3"/>
        <v>50304</v>
      </c>
    </row>
    <row r="61" spans="1:8" x14ac:dyDescent="0.25">
      <c r="A61">
        <v>59</v>
      </c>
      <c r="B61" s="3">
        <v>40186</v>
      </c>
      <c r="C61" t="s">
        <v>13</v>
      </c>
      <c r="D61" t="s">
        <v>17</v>
      </c>
      <c r="E61" t="s">
        <v>22</v>
      </c>
      <c r="F61">
        <v>2</v>
      </c>
      <c r="G61">
        <v>4793</v>
      </c>
      <c r="H61">
        <f t="shared" si="3"/>
        <v>9586</v>
      </c>
    </row>
    <row r="62" spans="1:8" x14ac:dyDescent="0.25">
      <c r="A62">
        <v>60</v>
      </c>
      <c r="B62" s="3">
        <v>40187</v>
      </c>
      <c r="C62" t="s">
        <v>13</v>
      </c>
      <c r="D62" t="s">
        <v>18</v>
      </c>
      <c r="E62" t="s">
        <v>22</v>
      </c>
      <c r="F62">
        <v>5</v>
      </c>
      <c r="G62">
        <v>2204</v>
      </c>
      <c r="H62">
        <f t="shared" si="3"/>
        <v>11020</v>
      </c>
    </row>
    <row r="63" spans="1:8" x14ac:dyDescent="0.25">
      <c r="A63">
        <v>61</v>
      </c>
      <c r="B63" s="3">
        <v>40188</v>
      </c>
      <c r="C63" t="s">
        <v>11</v>
      </c>
      <c r="D63" t="s">
        <v>19</v>
      </c>
      <c r="E63" t="s">
        <v>22</v>
      </c>
      <c r="F63">
        <v>18</v>
      </c>
      <c r="G63">
        <v>4183</v>
      </c>
      <c r="H63">
        <f t="shared" si="3"/>
        <v>75294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6"/>
  <sheetViews>
    <sheetView workbookViewId="0">
      <selection sqref="A1:H16"/>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16</v>
      </c>
      <c r="G2">
        <v>2195</v>
      </c>
      <c r="H2">
        <f>F2*G2</f>
        <v>35120</v>
      </c>
    </row>
    <row r="3" spans="1:8" x14ac:dyDescent="0.25">
      <c r="A3">
        <v>2</v>
      </c>
      <c r="B3" s="3">
        <v>40180</v>
      </c>
      <c r="C3" t="s">
        <v>8</v>
      </c>
      <c r="D3" t="s">
        <v>16</v>
      </c>
      <c r="E3" t="s">
        <v>9</v>
      </c>
      <c r="F3">
        <v>16</v>
      </c>
      <c r="G3">
        <v>3971</v>
      </c>
      <c r="H3">
        <f t="shared" ref="H3:H11" si="0">F3*G3</f>
        <v>63536</v>
      </c>
    </row>
    <row r="4" spans="1:8" x14ac:dyDescent="0.25">
      <c r="A4">
        <v>3</v>
      </c>
      <c r="B4" s="3">
        <v>40181</v>
      </c>
      <c r="C4" t="s">
        <v>12</v>
      </c>
      <c r="D4" t="s">
        <v>17</v>
      </c>
      <c r="E4" t="s">
        <v>9</v>
      </c>
      <c r="F4">
        <v>11</v>
      </c>
      <c r="G4">
        <v>4859</v>
      </c>
      <c r="H4">
        <f t="shared" si="0"/>
        <v>53449</v>
      </c>
    </row>
    <row r="5" spans="1:8" x14ac:dyDescent="0.25">
      <c r="A5">
        <v>4</v>
      </c>
      <c r="B5" s="3">
        <v>40182</v>
      </c>
      <c r="C5" t="s">
        <v>11</v>
      </c>
      <c r="D5" t="s">
        <v>18</v>
      </c>
      <c r="E5" t="s">
        <v>9</v>
      </c>
      <c r="F5">
        <v>16</v>
      </c>
      <c r="G5">
        <v>2055</v>
      </c>
      <c r="H5">
        <f t="shared" si="0"/>
        <v>32880</v>
      </c>
    </row>
    <row r="6" spans="1:8" x14ac:dyDescent="0.25">
      <c r="A6">
        <v>5</v>
      </c>
      <c r="B6" s="3">
        <v>40183</v>
      </c>
      <c r="C6" t="s">
        <v>14</v>
      </c>
      <c r="D6" t="s">
        <v>19</v>
      </c>
      <c r="E6" t="s">
        <v>9</v>
      </c>
      <c r="F6">
        <v>17</v>
      </c>
      <c r="G6">
        <v>3892</v>
      </c>
      <c r="H6">
        <f t="shared" si="0"/>
        <v>66164</v>
      </c>
    </row>
    <row r="7" spans="1:8" x14ac:dyDescent="0.25">
      <c r="A7">
        <v>6</v>
      </c>
      <c r="B7" s="3">
        <v>40184</v>
      </c>
      <c r="C7" t="s">
        <v>10</v>
      </c>
      <c r="D7" t="s">
        <v>15</v>
      </c>
      <c r="E7" t="s">
        <v>9</v>
      </c>
      <c r="F7">
        <v>11</v>
      </c>
      <c r="G7">
        <v>4640</v>
      </c>
      <c r="H7">
        <f t="shared" si="0"/>
        <v>51040</v>
      </c>
    </row>
    <row r="8" spans="1:8" x14ac:dyDescent="0.25">
      <c r="A8">
        <v>7</v>
      </c>
      <c r="B8" s="3">
        <v>40185</v>
      </c>
      <c r="C8" t="s">
        <v>8</v>
      </c>
      <c r="D8" t="s">
        <v>16</v>
      </c>
      <c r="E8" t="s">
        <v>9</v>
      </c>
      <c r="F8">
        <v>16</v>
      </c>
      <c r="G8">
        <v>4610</v>
      </c>
      <c r="H8">
        <f t="shared" si="0"/>
        <v>73760</v>
      </c>
    </row>
    <row r="9" spans="1:8" x14ac:dyDescent="0.25">
      <c r="A9">
        <v>8</v>
      </c>
      <c r="B9" s="3">
        <v>40186</v>
      </c>
      <c r="C9" t="s">
        <v>12</v>
      </c>
      <c r="D9" t="s">
        <v>17</v>
      </c>
      <c r="E9" t="s">
        <v>9</v>
      </c>
      <c r="F9">
        <v>18</v>
      </c>
      <c r="G9">
        <v>2221</v>
      </c>
      <c r="H9">
        <f t="shared" si="0"/>
        <v>39978</v>
      </c>
    </row>
    <row r="10" spans="1:8" x14ac:dyDescent="0.25">
      <c r="A10">
        <v>9</v>
      </c>
      <c r="B10" s="3">
        <v>40187</v>
      </c>
      <c r="C10" t="s">
        <v>11</v>
      </c>
      <c r="D10" t="s">
        <v>18</v>
      </c>
      <c r="E10" t="s">
        <v>9</v>
      </c>
      <c r="F10">
        <v>14</v>
      </c>
      <c r="G10">
        <v>3949</v>
      </c>
      <c r="H10">
        <f t="shared" si="0"/>
        <v>55286</v>
      </c>
    </row>
    <row r="11" spans="1:8" x14ac:dyDescent="0.25">
      <c r="A11">
        <v>10</v>
      </c>
      <c r="B11" s="3">
        <v>40188</v>
      </c>
      <c r="C11" t="s">
        <v>14</v>
      </c>
      <c r="D11" t="s">
        <v>19</v>
      </c>
      <c r="E11" t="s">
        <v>9</v>
      </c>
      <c r="F11">
        <v>14</v>
      </c>
      <c r="G11">
        <v>2943</v>
      </c>
      <c r="H11">
        <f t="shared" si="0"/>
        <v>41202</v>
      </c>
    </row>
    <row r="12" spans="1:8" x14ac:dyDescent="0.25">
      <c r="A12">
        <v>11</v>
      </c>
      <c r="B12" s="3">
        <v>40184</v>
      </c>
      <c r="C12" t="s">
        <v>10</v>
      </c>
      <c r="D12" t="s">
        <v>15</v>
      </c>
      <c r="E12" t="s">
        <v>9</v>
      </c>
      <c r="F12">
        <v>11</v>
      </c>
      <c r="G12">
        <v>4640</v>
      </c>
      <c r="H12">
        <f t="shared" ref="H12:H16" si="1">F12*G12</f>
        <v>51040</v>
      </c>
    </row>
    <row r="13" spans="1:8" x14ac:dyDescent="0.25">
      <c r="A13">
        <v>12</v>
      </c>
      <c r="B13" s="3">
        <v>40185</v>
      </c>
      <c r="C13" t="s">
        <v>8</v>
      </c>
      <c r="D13" t="s">
        <v>16</v>
      </c>
      <c r="E13" t="s">
        <v>9</v>
      </c>
      <c r="F13">
        <v>16</v>
      </c>
      <c r="G13">
        <v>4610</v>
      </c>
      <c r="H13">
        <f t="shared" si="1"/>
        <v>73760</v>
      </c>
    </row>
    <row r="14" spans="1:8" x14ac:dyDescent="0.25">
      <c r="A14">
        <v>13</v>
      </c>
      <c r="B14" s="3">
        <v>40186</v>
      </c>
      <c r="C14" t="s">
        <v>12</v>
      </c>
      <c r="D14" t="s">
        <v>17</v>
      </c>
      <c r="E14" t="s">
        <v>9</v>
      </c>
      <c r="F14">
        <v>18</v>
      </c>
      <c r="G14">
        <v>2221</v>
      </c>
      <c r="H14">
        <f t="shared" si="1"/>
        <v>39978</v>
      </c>
    </row>
    <row r="15" spans="1:8" x14ac:dyDescent="0.25">
      <c r="A15">
        <v>14</v>
      </c>
      <c r="B15" s="3">
        <v>40187</v>
      </c>
      <c r="C15" t="s">
        <v>11</v>
      </c>
      <c r="D15" t="s">
        <v>18</v>
      </c>
      <c r="E15" t="s">
        <v>9</v>
      </c>
      <c r="F15">
        <v>14</v>
      </c>
      <c r="G15">
        <v>3949</v>
      </c>
      <c r="H15">
        <f t="shared" si="1"/>
        <v>55286</v>
      </c>
    </row>
    <row r="16" spans="1:8" x14ac:dyDescent="0.25">
      <c r="A16">
        <v>15</v>
      </c>
      <c r="B16" s="3">
        <v>40188</v>
      </c>
      <c r="C16" t="s">
        <v>14</v>
      </c>
      <c r="D16" t="s">
        <v>19</v>
      </c>
      <c r="E16" t="s">
        <v>9</v>
      </c>
      <c r="F16">
        <v>14</v>
      </c>
      <c r="G16">
        <v>2943</v>
      </c>
      <c r="H16">
        <f t="shared" si="1"/>
        <v>41202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6"/>
  <sheetViews>
    <sheetView workbookViewId="0">
      <selection activeCell="A2" sqref="A2:H16"/>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8</v>
      </c>
      <c r="D2" t="s">
        <v>15</v>
      </c>
      <c r="E2" t="s">
        <v>20</v>
      </c>
      <c r="F2">
        <v>16</v>
      </c>
      <c r="G2">
        <v>2856</v>
      </c>
      <c r="H2">
        <f>F2*G2</f>
        <v>45696</v>
      </c>
    </row>
    <row r="3" spans="1:8" x14ac:dyDescent="0.25">
      <c r="A3">
        <v>2</v>
      </c>
      <c r="B3" s="3">
        <v>40180</v>
      </c>
      <c r="C3" t="s">
        <v>10</v>
      </c>
      <c r="D3" t="s">
        <v>16</v>
      </c>
      <c r="E3" t="s">
        <v>20</v>
      </c>
      <c r="F3">
        <v>13</v>
      </c>
      <c r="G3">
        <v>2722</v>
      </c>
      <c r="H3">
        <f t="shared" ref="H3:H11" si="0">F3*G3</f>
        <v>35386</v>
      </c>
    </row>
    <row r="4" spans="1:8" x14ac:dyDescent="0.25">
      <c r="A4">
        <v>3</v>
      </c>
      <c r="B4" s="3">
        <v>40181</v>
      </c>
      <c r="C4" t="s">
        <v>11</v>
      </c>
      <c r="D4" t="s">
        <v>17</v>
      </c>
      <c r="E4" t="s">
        <v>20</v>
      </c>
      <c r="F4">
        <v>18</v>
      </c>
      <c r="G4">
        <v>2900</v>
      </c>
      <c r="H4">
        <f t="shared" si="0"/>
        <v>52200</v>
      </c>
    </row>
    <row r="5" spans="1:8" x14ac:dyDescent="0.25">
      <c r="A5">
        <v>4</v>
      </c>
      <c r="B5" s="3">
        <v>40182</v>
      </c>
      <c r="C5" t="s">
        <v>12</v>
      </c>
      <c r="D5" t="s">
        <v>18</v>
      </c>
      <c r="E5" t="s">
        <v>20</v>
      </c>
      <c r="F5">
        <v>13</v>
      </c>
      <c r="G5">
        <v>2236</v>
      </c>
      <c r="H5">
        <f t="shared" si="0"/>
        <v>29068</v>
      </c>
    </row>
    <row r="6" spans="1:8" x14ac:dyDescent="0.25">
      <c r="A6">
        <v>5</v>
      </c>
      <c r="B6" s="3">
        <v>40183</v>
      </c>
      <c r="C6" t="s">
        <v>13</v>
      </c>
      <c r="D6" t="s">
        <v>19</v>
      </c>
      <c r="E6" t="s">
        <v>20</v>
      </c>
      <c r="F6">
        <v>10</v>
      </c>
      <c r="G6">
        <v>4569</v>
      </c>
      <c r="H6">
        <f t="shared" si="0"/>
        <v>45690</v>
      </c>
    </row>
    <row r="7" spans="1:8" x14ac:dyDescent="0.25">
      <c r="A7">
        <v>6</v>
      </c>
      <c r="B7" s="3">
        <v>40184</v>
      </c>
      <c r="C7" t="s">
        <v>8</v>
      </c>
      <c r="D7" t="s">
        <v>15</v>
      </c>
      <c r="E7" t="s">
        <v>20</v>
      </c>
      <c r="F7">
        <v>11</v>
      </c>
      <c r="G7">
        <v>3782</v>
      </c>
      <c r="H7">
        <f t="shared" si="0"/>
        <v>41602</v>
      </c>
    </row>
    <row r="8" spans="1:8" x14ac:dyDescent="0.25">
      <c r="A8">
        <v>7</v>
      </c>
      <c r="B8" s="3">
        <v>40185</v>
      </c>
      <c r="C8" t="s">
        <v>10</v>
      </c>
      <c r="D8" t="s">
        <v>16</v>
      </c>
      <c r="E8" t="s">
        <v>20</v>
      </c>
      <c r="F8">
        <v>15</v>
      </c>
      <c r="G8">
        <v>2823</v>
      </c>
      <c r="H8">
        <f t="shared" si="0"/>
        <v>42345</v>
      </c>
    </row>
    <row r="9" spans="1:8" x14ac:dyDescent="0.25">
      <c r="A9">
        <v>8</v>
      </c>
      <c r="B9" s="3">
        <v>40186</v>
      </c>
      <c r="C9" t="s">
        <v>11</v>
      </c>
      <c r="D9" t="s">
        <v>17</v>
      </c>
      <c r="E9" t="s">
        <v>20</v>
      </c>
      <c r="F9">
        <v>12</v>
      </c>
      <c r="G9">
        <v>4729</v>
      </c>
      <c r="H9">
        <f t="shared" si="0"/>
        <v>56748</v>
      </c>
    </row>
    <row r="10" spans="1:8" x14ac:dyDescent="0.25">
      <c r="A10">
        <v>9</v>
      </c>
      <c r="B10" s="3">
        <v>40187</v>
      </c>
      <c r="C10" t="s">
        <v>12</v>
      </c>
      <c r="D10" t="s">
        <v>18</v>
      </c>
      <c r="E10" t="s">
        <v>20</v>
      </c>
      <c r="F10">
        <v>12</v>
      </c>
      <c r="G10">
        <v>4007</v>
      </c>
      <c r="H10">
        <f t="shared" si="0"/>
        <v>48084</v>
      </c>
    </row>
    <row r="11" spans="1:8" x14ac:dyDescent="0.25">
      <c r="A11">
        <v>10</v>
      </c>
      <c r="B11" s="3">
        <v>40188</v>
      </c>
      <c r="C11" t="s">
        <v>13</v>
      </c>
      <c r="D11" t="s">
        <v>19</v>
      </c>
      <c r="E11" t="s">
        <v>20</v>
      </c>
      <c r="F11">
        <v>10</v>
      </c>
      <c r="G11">
        <v>3459</v>
      </c>
      <c r="H11">
        <f t="shared" si="0"/>
        <v>34590</v>
      </c>
    </row>
    <row r="12" spans="1:8" x14ac:dyDescent="0.25">
      <c r="A12">
        <v>11</v>
      </c>
      <c r="B12" s="3">
        <v>40184</v>
      </c>
      <c r="C12" t="s">
        <v>8</v>
      </c>
      <c r="D12" t="s">
        <v>15</v>
      </c>
      <c r="E12" t="s">
        <v>20</v>
      </c>
      <c r="F12">
        <v>11</v>
      </c>
      <c r="G12">
        <v>3782</v>
      </c>
      <c r="H12">
        <f t="shared" ref="H12:H16" si="1">F12*G12</f>
        <v>41602</v>
      </c>
    </row>
    <row r="13" spans="1:8" x14ac:dyDescent="0.25">
      <c r="A13">
        <v>12</v>
      </c>
      <c r="B13" s="3">
        <v>40185</v>
      </c>
      <c r="C13" t="s">
        <v>10</v>
      </c>
      <c r="D13" t="s">
        <v>16</v>
      </c>
      <c r="E13" t="s">
        <v>20</v>
      </c>
      <c r="F13">
        <v>15</v>
      </c>
      <c r="G13">
        <v>2823</v>
      </c>
      <c r="H13">
        <f t="shared" si="1"/>
        <v>42345</v>
      </c>
    </row>
    <row r="14" spans="1:8" x14ac:dyDescent="0.25">
      <c r="A14">
        <v>13</v>
      </c>
      <c r="B14" s="3">
        <v>40186</v>
      </c>
      <c r="C14" t="s">
        <v>11</v>
      </c>
      <c r="D14" t="s">
        <v>17</v>
      </c>
      <c r="E14" t="s">
        <v>20</v>
      </c>
      <c r="F14">
        <v>12</v>
      </c>
      <c r="G14">
        <v>4729</v>
      </c>
      <c r="H14">
        <f t="shared" si="1"/>
        <v>56748</v>
      </c>
    </row>
    <row r="15" spans="1:8" x14ac:dyDescent="0.25">
      <c r="A15">
        <v>14</v>
      </c>
      <c r="B15" s="3">
        <v>40187</v>
      </c>
      <c r="C15" t="s">
        <v>12</v>
      </c>
      <c r="D15" t="s">
        <v>18</v>
      </c>
      <c r="E15" t="s">
        <v>20</v>
      </c>
      <c r="F15">
        <v>12</v>
      </c>
      <c r="G15">
        <v>4007</v>
      </c>
      <c r="H15">
        <f t="shared" si="1"/>
        <v>48084</v>
      </c>
    </row>
    <row r="16" spans="1:8" x14ac:dyDescent="0.25">
      <c r="A16">
        <v>15</v>
      </c>
      <c r="B16" s="3">
        <v>40188</v>
      </c>
      <c r="C16" t="s">
        <v>13</v>
      </c>
      <c r="D16" t="s">
        <v>19</v>
      </c>
      <c r="E16" t="s">
        <v>20</v>
      </c>
      <c r="F16">
        <v>10</v>
      </c>
      <c r="G16">
        <v>3459</v>
      </c>
      <c r="H16">
        <f t="shared" si="1"/>
        <v>34590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6"/>
  <sheetViews>
    <sheetView workbookViewId="0">
      <selection activeCell="A2" sqref="A2:H16"/>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11</v>
      </c>
      <c r="D2" t="s">
        <v>15</v>
      </c>
      <c r="E2" t="s">
        <v>21</v>
      </c>
      <c r="F2">
        <v>10</v>
      </c>
      <c r="G2">
        <v>4057</v>
      </c>
      <c r="H2">
        <f>F2*G2</f>
        <v>40570</v>
      </c>
    </row>
    <row r="3" spans="1:8" x14ac:dyDescent="0.25">
      <c r="A3">
        <v>2</v>
      </c>
      <c r="B3" s="3">
        <v>40180</v>
      </c>
      <c r="C3" t="s">
        <v>14</v>
      </c>
      <c r="D3" t="s">
        <v>16</v>
      </c>
      <c r="E3" t="s">
        <v>21</v>
      </c>
      <c r="F3">
        <v>18</v>
      </c>
      <c r="G3">
        <v>3809</v>
      </c>
      <c r="H3">
        <f t="shared" ref="H3:H11" si="0">F3*G3</f>
        <v>68562</v>
      </c>
    </row>
    <row r="4" spans="1:8" x14ac:dyDescent="0.25">
      <c r="A4">
        <v>3</v>
      </c>
      <c r="B4" s="3">
        <v>40181</v>
      </c>
      <c r="C4" t="s">
        <v>10</v>
      </c>
      <c r="D4" t="s">
        <v>17</v>
      </c>
      <c r="E4" t="s">
        <v>21</v>
      </c>
      <c r="F4">
        <v>16</v>
      </c>
      <c r="G4">
        <v>3987</v>
      </c>
      <c r="H4">
        <f t="shared" si="0"/>
        <v>63792</v>
      </c>
    </row>
    <row r="5" spans="1:8" x14ac:dyDescent="0.25">
      <c r="A5">
        <v>4</v>
      </c>
      <c r="B5" s="3">
        <v>40182</v>
      </c>
      <c r="C5" t="s">
        <v>8</v>
      </c>
      <c r="D5" t="s">
        <v>18</v>
      </c>
      <c r="E5" t="s">
        <v>21</v>
      </c>
      <c r="F5">
        <v>10</v>
      </c>
      <c r="G5">
        <v>2346</v>
      </c>
      <c r="H5">
        <f t="shared" si="0"/>
        <v>23460</v>
      </c>
    </row>
    <row r="6" spans="1:8" x14ac:dyDescent="0.25">
      <c r="A6">
        <v>5</v>
      </c>
      <c r="B6" s="3">
        <v>40183</v>
      </c>
      <c r="C6" t="s">
        <v>8</v>
      </c>
      <c r="D6" t="s">
        <v>19</v>
      </c>
      <c r="E6" t="s">
        <v>21</v>
      </c>
      <c r="F6">
        <v>8</v>
      </c>
      <c r="G6">
        <v>4953</v>
      </c>
      <c r="H6">
        <f t="shared" si="0"/>
        <v>39624</v>
      </c>
    </row>
    <row r="7" spans="1:8" x14ac:dyDescent="0.25">
      <c r="A7">
        <v>6</v>
      </c>
      <c r="B7" s="3">
        <v>40184</v>
      </c>
      <c r="C7" t="s">
        <v>11</v>
      </c>
      <c r="D7" t="s">
        <v>15</v>
      </c>
      <c r="E7" t="s">
        <v>21</v>
      </c>
      <c r="F7">
        <v>18</v>
      </c>
      <c r="G7">
        <v>4088</v>
      </c>
      <c r="H7">
        <f t="shared" si="0"/>
        <v>73584</v>
      </c>
    </row>
    <row r="8" spans="1:8" x14ac:dyDescent="0.25">
      <c r="A8">
        <v>7</v>
      </c>
      <c r="B8" s="3">
        <v>40185</v>
      </c>
      <c r="C8" t="s">
        <v>14</v>
      </c>
      <c r="D8" t="s">
        <v>16</v>
      </c>
      <c r="E8" t="s">
        <v>21</v>
      </c>
      <c r="F8">
        <v>15</v>
      </c>
      <c r="G8">
        <v>2531</v>
      </c>
      <c r="H8">
        <f t="shared" si="0"/>
        <v>37965</v>
      </c>
    </row>
    <row r="9" spans="1:8" x14ac:dyDescent="0.25">
      <c r="A9">
        <v>8</v>
      </c>
      <c r="B9" s="3">
        <v>40186</v>
      </c>
      <c r="C9" t="s">
        <v>10</v>
      </c>
      <c r="D9" t="s">
        <v>17</v>
      </c>
      <c r="E9" t="s">
        <v>21</v>
      </c>
      <c r="F9">
        <v>13</v>
      </c>
      <c r="G9">
        <v>4716</v>
      </c>
      <c r="H9">
        <f t="shared" si="0"/>
        <v>61308</v>
      </c>
    </row>
    <row r="10" spans="1:8" x14ac:dyDescent="0.25">
      <c r="A10">
        <v>9</v>
      </c>
      <c r="B10" s="3">
        <v>40187</v>
      </c>
      <c r="C10" t="s">
        <v>8</v>
      </c>
      <c r="D10" t="s">
        <v>18</v>
      </c>
      <c r="E10" t="s">
        <v>21</v>
      </c>
      <c r="F10">
        <v>11</v>
      </c>
      <c r="G10">
        <v>2806</v>
      </c>
      <c r="H10">
        <f t="shared" si="0"/>
        <v>30866</v>
      </c>
    </row>
    <row r="11" spans="1:8" x14ac:dyDescent="0.25">
      <c r="A11">
        <v>10</v>
      </c>
      <c r="B11" s="3">
        <v>40188</v>
      </c>
      <c r="C11" t="s">
        <v>8</v>
      </c>
      <c r="D11" t="s">
        <v>19</v>
      </c>
      <c r="E11" t="s">
        <v>21</v>
      </c>
      <c r="F11">
        <v>5</v>
      </c>
      <c r="G11">
        <v>3350</v>
      </c>
      <c r="H11">
        <f t="shared" si="0"/>
        <v>16750</v>
      </c>
    </row>
    <row r="12" spans="1:8" x14ac:dyDescent="0.25">
      <c r="A12">
        <v>11</v>
      </c>
      <c r="B12" s="3">
        <v>40184</v>
      </c>
      <c r="C12" t="s">
        <v>11</v>
      </c>
      <c r="D12" t="s">
        <v>15</v>
      </c>
      <c r="E12" t="s">
        <v>21</v>
      </c>
      <c r="F12">
        <v>18</v>
      </c>
      <c r="G12">
        <v>4088</v>
      </c>
      <c r="H12">
        <f t="shared" ref="H12:H16" si="1">F12*G12</f>
        <v>73584</v>
      </c>
    </row>
    <row r="13" spans="1:8" x14ac:dyDescent="0.25">
      <c r="A13">
        <v>12</v>
      </c>
      <c r="B13" s="3">
        <v>40185</v>
      </c>
      <c r="C13" t="s">
        <v>14</v>
      </c>
      <c r="D13" t="s">
        <v>16</v>
      </c>
      <c r="E13" t="s">
        <v>21</v>
      </c>
      <c r="F13">
        <v>15</v>
      </c>
      <c r="G13">
        <v>2531</v>
      </c>
      <c r="H13">
        <f t="shared" si="1"/>
        <v>37965</v>
      </c>
    </row>
    <row r="14" spans="1:8" x14ac:dyDescent="0.25">
      <c r="A14">
        <v>13</v>
      </c>
      <c r="B14" s="3">
        <v>40186</v>
      </c>
      <c r="C14" t="s">
        <v>10</v>
      </c>
      <c r="D14" t="s">
        <v>17</v>
      </c>
      <c r="E14" t="s">
        <v>21</v>
      </c>
      <c r="F14">
        <v>13</v>
      </c>
      <c r="G14">
        <v>4716</v>
      </c>
      <c r="H14">
        <f t="shared" si="1"/>
        <v>61308</v>
      </c>
    </row>
    <row r="15" spans="1:8" x14ac:dyDescent="0.25">
      <c r="A15">
        <v>14</v>
      </c>
      <c r="B15" s="3">
        <v>40187</v>
      </c>
      <c r="C15" t="s">
        <v>8</v>
      </c>
      <c r="D15" t="s">
        <v>18</v>
      </c>
      <c r="E15" t="s">
        <v>21</v>
      </c>
      <c r="F15">
        <v>11</v>
      </c>
      <c r="G15">
        <v>2806</v>
      </c>
      <c r="H15">
        <f t="shared" si="1"/>
        <v>30866</v>
      </c>
    </row>
    <row r="16" spans="1:8" x14ac:dyDescent="0.25">
      <c r="A16">
        <v>15</v>
      </c>
      <c r="B16" s="3">
        <v>40188</v>
      </c>
      <c r="C16" t="s">
        <v>8</v>
      </c>
      <c r="D16" t="s">
        <v>19</v>
      </c>
      <c r="E16" t="s">
        <v>21</v>
      </c>
      <c r="F16">
        <v>5</v>
      </c>
      <c r="G16">
        <v>3350</v>
      </c>
      <c r="H16">
        <f t="shared" si="1"/>
        <v>16750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7"/>
  <sheetViews>
    <sheetView workbookViewId="0">
      <selection activeCell="A2" sqref="A2:H17"/>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s="2" t="s">
        <v>7</v>
      </c>
      <c r="B1" s="2" t="s">
        <v>0</v>
      </c>
      <c r="C1" s="2" t="s">
        <v>1</v>
      </c>
      <c r="D1" s="2" t="s">
        <v>2</v>
      </c>
      <c r="E1" s="2" t="s">
        <v>3</v>
      </c>
      <c r="F1" s="2" t="s">
        <v>4</v>
      </c>
      <c r="G1" s="2" t="s">
        <v>5</v>
      </c>
      <c r="H1" s="2" t="s">
        <v>6</v>
      </c>
    </row>
    <row r="2" spans="1:8" x14ac:dyDescent="0.25">
      <c r="A2">
        <v>1</v>
      </c>
      <c r="B2" s="3">
        <v>40179</v>
      </c>
      <c r="C2" t="s">
        <v>13</v>
      </c>
      <c r="D2" t="s">
        <v>15</v>
      </c>
      <c r="E2" t="s">
        <v>22</v>
      </c>
      <c r="F2">
        <v>5</v>
      </c>
      <c r="G2">
        <v>3270</v>
      </c>
      <c r="H2">
        <f>F2*G2</f>
        <v>16350</v>
      </c>
    </row>
    <row r="3" spans="1:8" x14ac:dyDescent="0.25">
      <c r="A3">
        <v>2</v>
      </c>
      <c r="B3" s="3">
        <v>40180</v>
      </c>
      <c r="C3" t="s">
        <v>12</v>
      </c>
      <c r="D3" t="s">
        <v>16</v>
      </c>
      <c r="E3" t="s">
        <v>22</v>
      </c>
      <c r="F3">
        <v>17</v>
      </c>
      <c r="G3">
        <v>4245</v>
      </c>
      <c r="H3">
        <f t="shared" ref="H3:H11" si="0">F3*G3</f>
        <v>72165</v>
      </c>
    </row>
    <row r="4" spans="1:8" x14ac:dyDescent="0.25">
      <c r="A4">
        <v>3</v>
      </c>
      <c r="B4" s="3">
        <v>40181</v>
      </c>
      <c r="C4" t="s">
        <v>13</v>
      </c>
      <c r="D4" t="s">
        <v>17</v>
      </c>
      <c r="E4" t="s">
        <v>22</v>
      </c>
      <c r="F4">
        <v>5</v>
      </c>
      <c r="G4">
        <v>4864</v>
      </c>
      <c r="H4">
        <f t="shared" si="0"/>
        <v>24320</v>
      </c>
    </row>
    <row r="5" spans="1:8" x14ac:dyDescent="0.25">
      <c r="A5">
        <v>4</v>
      </c>
      <c r="B5" s="3">
        <v>40182</v>
      </c>
      <c r="C5" t="s">
        <v>13</v>
      </c>
      <c r="D5" t="s">
        <v>18</v>
      </c>
      <c r="E5" t="s">
        <v>22</v>
      </c>
      <c r="F5">
        <v>6</v>
      </c>
      <c r="G5">
        <v>2381</v>
      </c>
      <c r="H5">
        <f t="shared" si="0"/>
        <v>14286</v>
      </c>
    </row>
    <row r="6" spans="1:8" x14ac:dyDescent="0.25">
      <c r="A6">
        <v>5</v>
      </c>
      <c r="B6" s="3">
        <v>40183</v>
      </c>
      <c r="C6" t="s">
        <v>11</v>
      </c>
      <c r="D6" t="s">
        <v>19</v>
      </c>
      <c r="E6" t="s">
        <v>22</v>
      </c>
      <c r="F6">
        <v>10</v>
      </c>
      <c r="G6">
        <v>3503</v>
      </c>
      <c r="H6">
        <f t="shared" si="0"/>
        <v>35030</v>
      </c>
    </row>
    <row r="7" spans="1:8" x14ac:dyDescent="0.25">
      <c r="A7">
        <v>6</v>
      </c>
      <c r="B7" s="3">
        <v>40184</v>
      </c>
      <c r="C7" t="s">
        <v>13</v>
      </c>
      <c r="D7" t="s">
        <v>15</v>
      </c>
      <c r="E7" t="s">
        <v>22</v>
      </c>
      <c r="F7">
        <v>5</v>
      </c>
      <c r="G7">
        <v>3176</v>
      </c>
      <c r="H7">
        <f t="shared" si="0"/>
        <v>15880</v>
      </c>
    </row>
    <row r="8" spans="1:8" x14ac:dyDescent="0.25">
      <c r="A8">
        <v>7</v>
      </c>
      <c r="B8" s="3">
        <v>40185</v>
      </c>
      <c r="C8" t="s">
        <v>12</v>
      </c>
      <c r="D8" t="s">
        <v>16</v>
      </c>
      <c r="E8" t="s">
        <v>22</v>
      </c>
      <c r="F8">
        <v>12</v>
      </c>
      <c r="G8">
        <v>4192</v>
      </c>
      <c r="H8">
        <f t="shared" si="0"/>
        <v>50304</v>
      </c>
    </row>
    <row r="9" spans="1:8" x14ac:dyDescent="0.25">
      <c r="A9">
        <v>8</v>
      </c>
      <c r="B9" s="3">
        <v>40186</v>
      </c>
      <c r="C9" t="s">
        <v>13</v>
      </c>
      <c r="D9" t="s">
        <v>17</v>
      </c>
      <c r="E9" t="s">
        <v>22</v>
      </c>
      <c r="F9">
        <v>2</v>
      </c>
      <c r="G9">
        <v>4793</v>
      </c>
      <c r="H9">
        <f t="shared" si="0"/>
        <v>9586</v>
      </c>
    </row>
    <row r="10" spans="1:8" x14ac:dyDescent="0.25">
      <c r="A10">
        <v>9</v>
      </c>
      <c r="B10" s="3">
        <v>40187</v>
      </c>
      <c r="C10" t="s">
        <v>13</v>
      </c>
      <c r="D10" t="s">
        <v>18</v>
      </c>
      <c r="E10" t="s">
        <v>22</v>
      </c>
      <c r="F10">
        <v>5</v>
      </c>
      <c r="G10">
        <v>2204</v>
      </c>
      <c r="H10">
        <f t="shared" si="0"/>
        <v>11020</v>
      </c>
    </row>
    <row r="11" spans="1:8" x14ac:dyDescent="0.25">
      <c r="A11">
        <v>10</v>
      </c>
      <c r="B11" s="3">
        <v>40188</v>
      </c>
      <c r="C11" t="s">
        <v>11</v>
      </c>
      <c r="D11" t="s">
        <v>19</v>
      </c>
      <c r="E11" t="s">
        <v>22</v>
      </c>
      <c r="F11">
        <v>18</v>
      </c>
      <c r="G11">
        <v>4183</v>
      </c>
      <c r="H11">
        <f t="shared" si="0"/>
        <v>75294</v>
      </c>
    </row>
    <row r="12" spans="1:8" x14ac:dyDescent="0.25">
      <c r="A12">
        <v>11</v>
      </c>
      <c r="B12" s="3">
        <v>40183</v>
      </c>
      <c r="C12" t="s">
        <v>11</v>
      </c>
      <c r="D12" t="s">
        <v>19</v>
      </c>
      <c r="E12" t="s">
        <v>22</v>
      </c>
      <c r="F12">
        <v>10</v>
      </c>
      <c r="G12">
        <v>3503</v>
      </c>
      <c r="H12">
        <f t="shared" ref="H12:H17" si="1">F12*G12</f>
        <v>35030</v>
      </c>
    </row>
    <row r="13" spans="1:8" x14ac:dyDescent="0.25">
      <c r="A13">
        <v>12</v>
      </c>
      <c r="B13" s="3">
        <v>40184</v>
      </c>
      <c r="C13" t="s">
        <v>13</v>
      </c>
      <c r="D13" t="s">
        <v>15</v>
      </c>
      <c r="E13" t="s">
        <v>22</v>
      </c>
      <c r="F13">
        <v>5</v>
      </c>
      <c r="G13">
        <v>3176</v>
      </c>
      <c r="H13">
        <f t="shared" si="1"/>
        <v>15880</v>
      </c>
    </row>
    <row r="14" spans="1:8" x14ac:dyDescent="0.25">
      <c r="A14">
        <v>13</v>
      </c>
      <c r="B14" s="3">
        <v>40185</v>
      </c>
      <c r="C14" t="s">
        <v>12</v>
      </c>
      <c r="D14" t="s">
        <v>16</v>
      </c>
      <c r="E14" t="s">
        <v>22</v>
      </c>
      <c r="F14">
        <v>12</v>
      </c>
      <c r="G14">
        <v>4192</v>
      </c>
      <c r="H14">
        <f t="shared" si="1"/>
        <v>50304</v>
      </c>
    </row>
    <row r="15" spans="1:8" x14ac:dyDescent="0.25">
      <c r="A15">
        <v>14</v>
      </c>
      <c r="B15" s="3">
        <v>40186</v>
      </c>
      <c r="C15" t="s">
        <v>13</v>
      </c>
      <c r="D15" t="s">
        <v>17</v>
      </c>
      <c r="E15" t="s">
        <v>22</v>
      </c>
      <c r="F15">
        <v>2</v>
      </c>
      <c r="G15">
        <v>4793</v>
      </c>
      <c r="H15">
        <f t="shared" si="1"/>
        <v>9586</v>
      </c>
    </row>
    <row r="16" spans="1:8" x14ac:dyDescent="0.25">
      <c r="A16">
        <v>15</v>
      </c>
      <c r="B16" s="3">
        <v>40187</v>
      </c>
      <c r="C16" t="s">
        <v>13</v>
      </c>
      <c r="D16" t="s">
        <v>18</v>
      </c>
      <c r="E16" t="s">
        <v>22</v>
      </c>
      <c r="F16">
        <v>5</v>
      </c>
      <c r="G16">
        <v>2204</v>
      </c>
      <c r="H16">
        <f t="shared" si="1"/>
        <v>11020</v>
      </c>
    </row>
    <row r="17" spans="1:8" x14ac:dyDescent="0.25">
      <c r="A17">
        <v>16</v>
      </c>
      <c r="B17" s="3">
        <v>40188</v>
      </c>
      <c r="C17" t="s">
        <v>11</v>
      </c>
      <c r="D17" t="s">
        <v>19</v>
      </c>
      <c r="E17" t="s">
        <v>22</v>
      </c>
      <c r="F17">
        <v>18</v>
      </c>
      <c r="G17">
        <v>4183</v>
      </c>
      <c r="H17">
        <f t="shared" si="1"/>
        <v>75294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G21"/>
  <sheetViews>
    <sheetView showGridLines="0" workbookViewId="0"/>
  </sheetViews>
  <sheetFormatPr defaultRowHeight="15" x14ac:dyDescent="0.25"/>
  <cols>
    <col min="1" max="1" width="9.140625" style="1"/>
    <col min="2" max="2" width="7.85546875" bestFit="1" customWidth="1"/>
    <col min="3" max="4" width="9.5703125" bestFit="1" customWidth="1"/>
  </cols>
  <sheetData>
    <row r="2" spans="1:4" x14ac:dyDescent="0.25">
      <c r="B2" t="s">
        <v>25</v>
      </c>
    </row>
    <row r="3" spans="1:4" x14ac:dyDescent="0.25">
      <c r="B3" t="s">
        <v>26</v>
      </c>
    </row>
    <row r="4" spans="1:4" x14ac:dyDescent="0.25">
      <c r="B4" t="s">
        <v>27</v>
      </c>
    </row>
    <row r="5" spans="1:4" x14ac:dyDescent="0.25">
      <c r="B5" t="s">
        <v>28</v>
      </c>
    </row>
    <row r="6" spans="1:4" x14ac:dyDescent="0.25">
      <c r="B6" t="s">
        <v>35</v>
      </c>
    </row>
    <row r="7" spans="1:4" x14ac:dyDescent="0.25">
      <c r="B7" t="s">
        <v>36</v>
      </c>
    </row>
    <row r="8" spans="1:4" x14ac:dyDescent="0.25">
      <c r="B8" t="s">
        <v>37</v>
      </c>
    </row>
    <row r="9" spans="1:4" x14ac:dyDescent="0.25">
      <c r="B9" t="s">
        <v>29</v>
      </c>
    </row>
    <row r="10" spans="1:4" ht="15.75" x14ac:dyDescent="0.25">
      <c r="B10" s="6" t="s">
        <v>38</v>
      </c>
      <c r="C10" s="6"/>
    </row>
    <row r="11" spans="1:4" ht="15.75" x14ac:dyDescent="0.25">
      <c r="B11" s="6" t="s">
        <v>39</v>
      </c>
      <c r="C11" s="6"/>
    </row>
    <row r="12" spans="1:4" ht="15.75" x14ac:dyDescent="0.25">
      <c r="B12" s="6"/>
      <c r="C12" s="6"/>
    </row>
    <row r="13" spans="1:4" ht="15.75" x14ac:dyDescent="0.25">
      <c r="B13" s="10" t="s">
        <v>34</v>
      </c>
      <c r="C13" s="6"/>
    </row>
    <row r="15" spans="1:4" x14ac:dyDescent="0.25">
      <c r="A15" s="1">
        <v>1</v>
      </c>
      <c r="B15" s="7" t="s">
        <v>3</v>
      </c>
      <c r="C15" s="7" t="s">
        <v>23</v>
      </c>
      <c r="D15" s="8"/>
    </row>
    <row r="16" spans="1:4" x14ac:dyDescent="0.25">
      <c r="A16" s="1">
        <v>2</v>
      </c>
      <c r="B16" s="9" t="s">
        <v>1</v>
      </c>
      <c r="C16" s="7" t="s">
        <v>23</v>
      </c>
      <c r="D16" s="8"/>
    </row>
    <row r="17" spans="1:7" x14ac:dyDescent="0.25">
      <c r="A17" s="1">
        <v>3</v>
      </c>
      <c r="B17" s="7" t="s">
        <v>3</v>
      </c>
      <c r="C17" s="9" t="s">
        <v>1</v>
      </c>
      <c r="D17" s="7" t="s">
        <v>4</v>
      </c>
    </row>
    <row r="18" spans="1:7" x14ac:dyDescent="0.25">
      <c r="A18" s="1">
        <v>4</v>
      </c>
      <c r="B18" s="9" t="s">
        <v>0</v>
      </c>
      <c r="C18" s="7" t="s">
        <v>1</v>
      </c>
      <c r="D18" s="7" t="s">
        <v>23</v>
      </c>
      <c r="F18" s="5"/>
      <c r="G18" t="s">
        <v>30</v>
      </c>
    </row>
    <row r="21" spans="1:7" x14ac:dyDescent="0.25">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Ranadip</cp:lastModifiedBy>
  <dcterms:created xsi:type="dcterms:W3CDTF">2020-07-03T08:10:56Z</dcterms:created>
  <dcterms:modified xsi:type="dcterms:W3CDTF">2020-10-22T09:12:15Z</dcterms:modified>
</cp:coreProperties>
</file>